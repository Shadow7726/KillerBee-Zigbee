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Test Cases" sheetId="2" state="visible" r:id="rId2"/>
    <sheet xmlns:r="http://schemas.openxmlformats.org/officeDocument/2006/relationships" name="🔬 Payloads &amp; Steps" sheetId="3" state="visible" r:id="rId3"/>
    <sheet xmlns:r="http://schemas.openxmlformats.org/officeDocument/2006/relationships" name="🔧 Hardware Matrix" sheetId="4" state="visible" r:id="rId4"/>
    <sheet xmlns:r="http://schemas.openxmlformats.org/officeDocument/2006/relationships" name="📈 CVSS &amp; Findings" sheetId="5" state="visible" r:id="rId5"/>
    <sheet xmlns:r="http://schemas.openxmlformats.org/officeDocument/2006/relationships" name="✅ Remed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90CAF9"/>
      <sz val="11"/>
    </font>
    <font>
      <name val="Arial"/>
      <b val="1"/>
      <color rgb="00FFFFFF"/>
      <sz val="22"/>
    </font>
    <font>
      <name val="Arial"/>
      <b val="1"/>
      <color rgb="00FFFFFF"/>
      <sz val="8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b val="1"/>
      <color rgb="00FFFFFF"/>
      <sz val="15"/>
    </font>
    <font>
      <name val="Courier New"/>
      <color rgb="00A8FF78"/>
      <sz val="9"/>
    </font>
    <font>
      <name val="Arial"/>
      <i val="1"/>
      <color rgb="005C6BC0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E65100"/>
      <sz val="10"/>
    </font>
    <font>
      <name val="Arial"/>
      <color rgb="005C6BC0"/>
      <sz val="10"/>
    </font>
  </fonts>
  <fills count="1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B8860B"/>
      </patternFill>
    </fill>
    <fill>
      <patternFill patternType="solid">
        <fgColor rgb="0027AE60"/>
      </patternFill>
    </fill>
    <fill>
      <patternFill patternType="solid">
        <fgColor rgb="000D7377"/>
      </patternFill>
    </fill>
    <fill>
      <patternFill patternType="solid">
        <fgColor rgb="0016213E"/>
      </patternFill>
    </fill>
    <fill>
      <patternFill patternType="solid">
        <fgColor rgb="00F2F2F2"/>
      </patternFill>
    </fill>
    <fill>
      <patternFill patternType="solid">
        <fgColor rgb="00F1C40F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1E1E2E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2196F3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9" fontId="8" fillId="1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9" fontId="8" fillId="1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4" fontId="7" fillId="10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164" fontId="7" fillId="12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565C0"/>
    <outlinePr summaryBelow="1" summaryRight="1"/>
    <pageSetUpPr/>
  </sheetPr>
  <dimension ref="A2:L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14" customHeight="1"/>
    <row r="2" ht="48" customHeight="1">
      <c r="A2" s="1" t="inlineStr">
        <is>
          <t>ZigBee Network Penetration Test — Master Tracker</t>
        </is>
      </c>
    </row>
    <row r="3" ht="22" customHeight="1">
      <c r="A3" s="2" t="inlineStr">
        <is>
          <t>IoT Security Assessment | Based on ZigBee Security Architecture (IEEE 802.15.4)</t>
        </is>
      </c>
    </row>
    <row r="4" ht="14" customHeight="1"/>
    <row r="5" ht="16" customHeight="1">
      <c r="A5" s="3" t="inlineStr">
        <is>
          <t>TOTAL TEST CASES</t>
        </is>
      </c>
      <c r="D5" s="4" t="inlineStr">
        <is>
          <t>CRITICAL</t>
        </is>
      </c>
      <c r="F5" s="5" t="inlineStr">
        <is>
          <t>HIGH</t>
        </is>
      </c>
      <c r="H5" s="6" t="inlineStr">
        <is>
          <t>MEDIUM</t>
        </is>
      </c>
      <c r="J5" s="7" t="inlineStr">
        <is>
          <t>LOW / INFO</t>
        </is>
      </c>
      <c r="L5" s="8" t="inlineStr">
        <is>
          <t>PASS RATE</t>
        </is>
      </c>
    </row>
    <row r="6" ht="36" customHeight="1">
      <c r="A6" s="9">
        <f>COUNTA('📋 Test Cases'!A3:A22)</f>
        <v/>
      </c>
      <c r="D6" s="10">
        <f>COUNTIF('📋 Test Cases'!D3:D22,"Critical")</f>
        <v/>
      </c>
      <c r="F6" s="11">
        <f>COUNTIF('📋 Test Cases'!D3:D22,"High")</f>
        <v/>
      </c>
      <c r="H6" s="12">
        <f>COUNTIF('📋 Test Cases'!D3:D22,"Medium")</f>
        <v/>
      </c>
      <c r="J6" s="13">
        <f>COUNTIF('📋 Test Cases'!D3:D22,"Low")</f>
        <v/>
      </c>
      <c r="L6" s="14">
        <f>TEXT(COUNTIF('📋 Test Cases'!K3:K22,"Pass")/COUNTA('📋 Test Cases'!K3:K22),"0%")</f>
        <v/>
      </c>
    </row>
    <row r="7" ht="36" customHeight="1"/>
    <row r="8" ht="16" customHeight="1"/>
    <row r="10" ht="20" customHeight="1">
      <c r="A10" s="15" t="inlineStr">
        <is>
          <t>VULNERABILITY CATEGORY BREAKDOWN</t>
        </is>
      </c>
      <c r="B10" s="16" t="n"/>
      <c r="C10" s="16" t="n"/>
      <c r="D10" s="16" t="n"/>
      <c r="E10" s="16" t="n"/>
      <c r="F10" s="17" t="n"/>
    </row>
    <row r="11" ht="18" customHeight="1">
      <c r="A11" s="18" t="inlineStr">
        <is>
          <t>Category</t>
        </is>
      </c>
      <c r="B11" s="18" t="inlineStr">
        <is>
          <t>Test IDs</t>
        </is>
      </c>
      <c r="C11" s="18" t="inlineStr">
        <is>
          <t>Count</t>
        </is>
      </c>
      <c r="D11" s="18" t="inlineStr">
        <is>
          <t>Max Severity</t>
        </is>
      </c>
      <c r="E11" s="18" t="inlineStr">
        <is>
          <t>Avg CVSS</t>
        </is>
      </c>
      <c r="F11" s="18" t="inlineStr">
        <is>
          <t>% of Total</t>
        </is>
      </c>
    </row>
    <row r="12">
      <c r="A12" s="19" t="inlineStr">
        <is>
          <t>Passive Reconnaissance</t>
        </is>
      </c>
      <c r="B12" s="20" t="inlineStr">
        <is>
          <t>TC-01</t>
        </is>
      </c>
      <c r="C12" s="21" t="n">
        <v>1</v>
      </c>
      <c r="D12" s="22" t="inlineStr">
        <is>
          <t>Medium</t>
        </is>
      </c>
      <c r="E12" s="21" t="n">
        <v>5.3</v>
      </c>
      <c r="F12" s="23">
        <f>C12/20</f>
        <v/>
      </c>
    </row>
    <row r="13">
      <c r="A13" s="24" t="inlineStr">
        <is>
          <t>Key Attacks</t>
        </is>
      </c>
      <c r="B13" s="25" t="inlineStr">
        <is>
          <t>TC-02,03,04,05,16</t>
        </is>
      </c>
      <c r="C13" s="26" t="n">
        <v>5</v>
      </c>
      <c r="D13" s="27" t="inlineStr">
        <is>
          <t>Critical</t>
        </is>
      </c>
      <c r="E13" s="26" t="n">
        <v>8.199999999999999</v>
      </c>
      <c r="F13" s="28">
        <f>C13/20</f>
        <v/>
      </c>
    </row>
    <row r="14">
      <c r="A14" s="19" t="inlineStr">
        <is>
          <t>Denial of Service</t>
        </is>
      </c>
      <c r="B14" s="20" t="inlineStr">
        <is>
          <t>TC-06,07,08,09</t>
        </is>
      </c>
      <c r="C14" s="21" t="n">
        <v>4</v>
      </c>
      <c r="D14" s="29" t="inlineStr">
        <is>
          <t>High</t>
        </is>
      </c>
      <c r="E14" s="21" t="n">
        <v>7</v>
      </c>
      <c r="F14" s="23">
        <f>C14/20</f>
        <v/>
      </c>
    </row>
    <row r="15">
      <c r="A15" s="24" t="inlineStr">
        <is>
          <t>Authentication Bypass</t>
        </is>
      </c>
      <c r="B15" s="25" t="inlineStr">
        <is>
          <t>TC-13,14,15,19</t>
        </is>
      </c>
      <c r="C15" s="26" t="n">
        <v>4</v>
      </c>
      <c r="D15" s="27" t="inlineStr">
        <is>
          <t>Critical</t>
        </is>
      </c>
      <c r="E15" s="26" t="n">
        <v>8.699999999999999</v>
      </c>
      <c r="F15" s="28">
        <f>C15/20</f>
        <v/>
      </c>
    </row>
    <row r="16">
      <c r="A16" s="19" t="inlineStr">
        <is>
          <t>Protocol Manipulation</t>
        </is>
      </c>
      <c r="B16" s="20" t="inlineStr">
        <is>
          <t>TC-10,11,12,17,18</t>
        </is>
      </c>
      <c r="C16" s="21" t="n">
        <v>5</v>
      </c>
      <c r="D16" s="29" t="inlineStr">
        <is>
          <t>High</t>
        </is>
      </c>
      <c r="E16" s="21" t="n">
        <v>6.8</v>
      </c>
      <c r="F16" s="23">
        <f>C16/20</f>
        <v/>
      </c>
    </row>
    <row r="17">
      <c r="A17" s="24" t="inlineStr">
        <is>
          <t>Physical / Hardware</t>
        </is>
      </c>
      <c r="B17" s="25" t="inlineStr">
        <is>
          <t>TC-20</t>
        </is>
      </c>
      <c r="C17" s="26" t="n">
        <v>1</v>
      </c>
      <c r="D17" s="22" t="inlineStr">
        <is>
          <t>Medium</t>
        </is>
      </c>
      <c r="E17" s="26" t="n">
        <v>6.8</v>
      </c>
      <c r="F17" s="28">
        <f>C17/20</f>
        <v/>
      </c>
    </row>
    <row r="18" ht="18" customHeight="1">
      <c r="A18" s="30" t="inlineStr">
        <is>
          <t>TOTALS</t>
        </is>
      </c>
      <c r="C18" s="30">
        <f>SUM(C12:C17)</f>
        <v/>
      </c>
    </row>
    <row r="20" ht="20" customHeight="1">
      <c r="A20" s="15" t="inlineStr">
        <is>
          <t>KEY HARDWARE TOOLS</t>
        </is>
      </c>
      <c r="B20" s="16" t="n"/>
      <c r="C20" s="16" t="n"/>
      <c r="D20" s="16" t="n"/>
      <c r="E20" s="16" t="n"/>
      <c r="F20" s="17" t="n"/>
    </row>
    <row r="21">
      <c r="A21" s="18" t="inlineStr">
        <is>
          <t>Tool</t>
        </is>
      </c>
      <c r="B21" s="18" t="inlineStr">
        <is>
          <t>Chipset</t>
        </is>
      </c>
      <c r="C21" s="18" t="inlineStr">
        <is>
          <t>Primary Use</t>
        </is>
      </c>
      <c r="D21" s="18" t="inlineStr">
        <is>
          <t>Cost (USD)</t>
        </is>
      </c>
      <c r="E21" s="18" t="inlineStr">
        <is>
          <t>Availability</t>
        </is>
      </c>
      <c r="F21" s="18" t="inlineStr">
        <is>
          <t>Priority</t>
        </is>
      </c>
    </row>
    <row r="22">
      <c r="A22" s="19" t="inlineStr">
        <is>
          <t>CC2531 USB Dongle</t>
        </is>
      </c>
      <c r="B22" s="20" t="inlineStr">
        <is>
          <t>CC2531</t>
        </is>
      </c>
      <c r="C22" s="20" t="inlineStr">
        <is>
          <t>Passive sniffing, Wireshark</t>
        </is>
      </c>
      <c r="D22" s="21" t="inlineStr">
        <is>
          <t>$5–15</t>
        </is>
      </c>
      <c r="E22" s="20" t="inlineStr">
        <is>
          <t>AliExpress/eBay</t>
        </is>
      </c>
      <c r="F22" s="27" t="inlineStr">
        <is>
          <t>High</t>
        </is>
      </c>
    </row>
    <row r="23">
      <c r="A23" s="24" t="inlineStr">
        <is>
          <t>Apimote v4</t>
        </is>
      </c>
      <c r="B23" s="25" t="inlineStr">
        <is>
          <t>CC2420</t>
        </is>
      </c>
      <c r="C23" s="25" t="inlineStr">
        <is>
          <t>Sniff + Inject, KillerBee native</t>
        </is>
      </c>
      <c r="D23" s="26" t="inlineStr">
        <is>
          <t>$150–200</t>
        </is>
      </c>
      <c r="E23" s="25" t="inlineStr">
        <is>
          <t>River Loop Security</t>
        </is>
      </c>
      <c r="F23" s="27" t="inlineStr">
        <is>
          <t>High</t>
        </is>
      </c>
    </row>
    <row r="24">
      <c r="A24" s="19" t="inlineStr">
        <is>
          <t>YARD Stick One</t>
        </is>
      </c>
      <c r="B24" s="20" t="inlineStr">
        <is>
          <t>CC1111</t>
        </is>
      </c>
      <c r="C24" s="20" t="inlineStr">
        <is>
          <t>Jamming research, injection</t>
        </is>
      </c>
      <c r="D24" s="21" t="inlineStr">
        <is>
          <t>$99</t>
        </is>
      </c>
      <c r="E24" s="20" t="inlineStr">
        <is>
          <t>Great Scott Gadgets</t>
        </is>
      </c>
      <c r="F24" s="27" t="inlineStr">
        <is>
          <t>High</t>
        </is>
      </c>
    </row>
    <row r="25">
      <c r="A25" s="24" t="inlineStr">
        <is>
          <t>HackRF One</t>
        </is>
      </c>
      <c r="B25" s="25" t="inlineStr">
        <is>
          <t>MAX2837</t>
        </is>
      </c>
      <c r="C25" s="25" t="inlineStr">
        <is>
          <t>Broadband SDR, spectrum analysis</t>
        </is>
      </c>
      <c r="D25" s="26" t="inlineStr">
        <is>
          <t>$299–349</t>
        </is>
      </c>
      <c r="E25" s="25" t="inlineStr">
        <is>
          <t>Great Scott Gadgets</t>
        </is>
      </c>
      <c r="F25" s="29" t="inlineStr">
        <is>
          <t>Medium</t>
        </is>
      </c>
    </row>
    <row r="26">
      <c r="A26" s="19" t="inlineStr">
        <is>
          <t>nRF52840 Dongle</t>
        </is>
      </c>
      <c r="B26" s="20" t="inlineStr">
        <is>
          <t>nRF52840</t>
        </is>
      </c>
      <c r="C26" s="20" t="inlineStr">
        <is>
          <t>802.15.4 sniffer firmware</t>
        </is>
      </c>
      <c r="D26" s="21" t="inlineStr">
        <is>
          <t>$10</t>
        </is>
      </c>
      <c r="E26" s="20" t="inlineStr">
        <is>
          <t>Nordic Semiconductor</t>
        </is>
      </c>
      <c r="F26" s="29" t="inlineStr">
        <is>
          <t>Medium</t>
        </is>
      </c>
    </row>
    <row r="27">
      <c r="A27" s="24" t="inlineStr">
        <is>
          <t>JLink EDU Mini</t>
        </is>
      </c>
      <c r="B27" s="25" t="inlineStr">
        <is>
          <t>ARM Cortex</t>
        </is>
      </c>
      <c r="C27" s="25" t="inlineStr">
        <is>
          <t>JTAG/SWD debug port extraction</t>
        </is>
      </c>
      <c r="D27" s="26" t="inlineStr">
        <is>
          <t>$18</t>
        </is>
      </c>
      <c r="E27" s="25" t="inlineStr">
        <is>
          <t>SEGGER</t>
        </is>
      </c>
      <c r="F27" s="29" t="inlineStr">
        <is>
          <t>Medium</t>
        </is>
      </c>
    </row>
    <row r="28">
      <c r="A28" s="19" t="inlineStr">
        <is>
          <t>Bus Pirate v4</t>
        </is>
      </c>
      <c r="B28" s="20" t="inlineStr">
        <is>
          <t>PIC24FJ256</t>
        </is>
      </c>
      <c r="C28" s="20" t="inlineStr">
        <is>
          <t>UART/SPI/I2C protocol analysis</t>
        </is>
      </c>
      <c r="D28" s="21" t="inlineStr">
        <is>
          <t>$30</t>
        </is>
      </c>
      <c r="E28" s="20" t="inlineStr">
        <is>
          <t>SparkFun/Seeed</t>
        </is>
      </c>
      <c r="F28" s="31" t="inlineStr">
        <is>
          <t>Low</t>
        </is>
      </c>
    </row>
    <row r="29">
      <c r="A29" s="24" t="inlineStr">
        <is>
          <t>ESP32-H2 Dev Board</t>
        </is>
      </c>
      <c r="B29" s="25" t="inlineStr">
        <is>
          <t>ESP32-H2</t>
        </is>
      </c>
      <c r="C29" s="25" t="inlineStr">
        <is>
          <t>ZigBee custom firmware testing</t>
        </is>
      </c>
      <c r="D29" s="26" t="inlineStr">
        <is>
          <t>$5–10</t>
        </is>
      </c>
      <c r="E29" s="25" t="inlineStr">
        <is>
          <t>Espressif/Adafruit</t>
        </is>
      </c>
      <c r="F29" s="31" t="inlineStr">
        <is>
          <t>Low</t>
        </is>
      </c>
    </row>
  </sheetData>
  <mergeCells count="16">
    <mergeCell ref="A2:L2"/>
    <mergeCell ref="A6:C7"/>
    <mergeCell ref="A10:F10"/>
    <mergeCell ref="A5:C5"/>
    <mergeCell ref="H6:I7"/>
    <mergeCell ref="J5:K5"/>
    <mergeCell ref="J6:K7"/>
    <mergeCell ref="F5:G5"/>
    <mergeCell ref="D5:E5"/>
    <mergeCell ref="D6:E7"/>
    <mergeCell ref="L6:L7"/>
    <mergeCell ref="H5:I5"/>
    <mergeCell ref="F6:G7"/>
    <mergeCell ref="A20:F20"/>
    <mergeCell ref="A3:L3"/>
    <mergeCell ref="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A1B9A"/>
    <outlinePr summaryBelow="1" summaryRight="1"/>
    <pageSetUpPr/>
  </sheetPr>
  <dimension ref="A2:N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10" customWidth="1" min="4" max="4"/>
    <col width="8" customWidth="1" min="5" max="5"/>
    <col width="30" customWidth="1" min="6" max="6"/>
    <col width="35" customWidth="1" min="7" max="7"/>
    <col width="30" customWidth="1" min="8" max="8"/>
    <col width="28" customWidth="1" min="9" max="9"/>
    <col width="45" customWidth="1" min="10" max="10"/>
    <col width="45" customWidth="1" min="11" max="11"/>
    <col width="12" customWidth="1" min="12" max="12"/>
    <col width="12" customWidth="1" min="13" max="13"/>
    <col width="12" customWidth="1" min="14" max="14"/>
  </cols>
  <sheetData>
    <row r="1" ht="14" customHeight="1"/>
    <row r="2" ht="40" customHeight="1">
      <c r="A2" s="32" t="inlineStr">
        <is>
          <t>ZigBee Penetration Test — Master Test Case Register</t>
        </is>
      </c>
    </row>
    <row r="3">
      <c r="A3" s="33" t="inlineStr">
        <is>
          <t>TC ID</t>
        </is>
      </c>
      <c r="B3" s="33" t="inlineStr">
        <is>
          <t>Test Case Name</t>
        </is>
      </c>
      <c r="C3" s="33" t="inlineStr">
        <is>
          <t>Category</t>
        </is>
      </c>
      <c r="D3" s="33" t="inlineStr">
        <is>
          <t>Severity</t>
        </is>
      </c>
      <c r="E3" s="33" t="inlineStr">
        <is>
          <t>CVSS Score</t>
        </is>
      </c>
      <c r="F3" s="33" t="inlineStr">
        <is>
          <t>CVSS Vector</t>
        </is>
      </c>
      <c r="G3" s="33" t="inlineStr">
        <is>
          <t>Vulnerability Reference</t>
        </is>
      </c>
      <c r="H3" s="33" t="inlineStr">
        <is>
          <t>Tool(s) Required</t>
        </is>
      </c>
      <c r="I3" s="33" t="inlineStr">
        <is>
          <t>Prerequisites</t>
        </is>
      </c>
      <c r="J3" s="33" t="inlineStr">
        <is>
          <t>Test Objective</t>
        </is>
      </c>
      <c r="K3" s="33" t="inlineStr">
        <is>
          <t>Pass/Fail Criteria</t>
        </is>
      </c>
      <c r="L3" s="33" t="inlineStr">
        <is>
          <t>Status</t>
        </is>
      </c>
      <c r="M3" s="33" t="inlineStr">
        <is>
          <t>Tester</t>
        </is>
      </c>
      <c r="N3" s="33" t="inlineStr">
        <is>
          <t>Date</t>
        </is>
      </c>
    </row>
    <row r="4" ht="60" customHeight="1">
      <c r="A4" s="18" t="inlineStr">
        <is>
          <t>TC-01</t>
        </is>
      </c>
      <c r="B4" s="19" t="inlineStr">
        <is>
          <t>Passive Traffic Sniffing</t>
        </is>
      </c>
      <c r="C4" s="20" t="inlineStr">
        <is>
          <t>Passive Recon</t>
        </is>
      </c>
      <c r="D4" s="22" t="inlineStr">
        <is>
          <t>Medium</t>
        </is>
      </c>
      <c r="E4" s="34" t="n">
        <v>5.3</v>
      </c>
      <c r="F4" s="21" t="inlineStr">
        <is>
          <t>AV:A/AC:L/PR:N/UI:N/S:U/C:L/I:N/A:N</t>
        </is>
      </c>
      <c r="G4" s="20" t="inlineStr">
        <is>
          <t>ZigBee open-trust model; unencrypted broadcast spectrum</t>
        </is>
      </c>
      <c r="H4" s="20" t="inlineStr">
        <is>
          <t>CC2531/Apimote, KillerBee (zbdump), Wireshark</t>
        </is>
      </c>
      <c r="I4" s="20" t="inlineStr">
        <is>
          <t>RF range of target; target channel identified</t>
        </is>
      </c>
      <c r="J4" s="20" t="inlineStr">
        <is>
          <t>Capture raw IEEE 802.15.4 frames passively; identify PAN ID, coordinator address, security level</t>
        </is>
      </c>
      <c r="K4" s="20" t="inlineStr">
        <is>
          <t>Pass: ENC-MIC-128 (0x07) enforced; Fail: Security level 0x00 or metadata exposed</t>
        </is>
      </c>
      <c r="L4" s="35" t="inlineStr">
        <is>
          <t>Open</t>
        </is>
      </c>
      <c r="M4" s="21" t="inlineStr"/>
      <c r="N4" s="21" t="inlineStr"/>
    </row>
    <row r="5" ht="60" customHeight="1">
      <c r="A5" s="18" t="inlineStr">
        <is>
          <t>TC-02</t>
        </is>
      </c>
      <c r="B5" s="24" t="inlineStr">
        <is>
          <t>Default Link Key Exploitation</t>
        </is>
      </c>
      <c r="C5" s="25" t="inlineStr">
        <is>
          <t>Key Attack</t>
        </is>
      </c>
      <c r="D5" s="27" t="inlineStr">
        <is>
          <t>Critical</t>
        </is>
      </c>
      <c r="E5" s="36" t="n">
        <v>9.800000000000001</v>
      </c>
      <c r="F5" s="26" t="inlineStr">
        <is>
          <t>AV:N/AC:L/PR:N/UI:N/S:U/C:H/I:H/A:H</t>
        </is>
      </c>
      <c r="G5" s="25" t="inlineStr">
        <is>
          <t>ZigBee default global TC link key: ZigBeeAlliance09</t>
        </is>
      </c>
      <c r="H5" s="25" t="inlineStr">
        <is>
          <t>Apimote, ZigDiggity, Wireshark</t>
        </is>
      </c>
      <c r="I5" s="25" t="inlineStr">
        <is>
          <t>TC-01 complete; centralized security mode confirmed</t>
        </is>
      </c>
      <c r="J5" s="25" t="inlineStr">
        <is>
          <t>Join target network using public default key ZigBeeAlliance09; capture network key in transport frame</t>
        </is>
      </c>
      <c r="K5" s="25" t="inlineStr">
        <is>
          <t>Pass: Join rejected / key not sent; Fail: Rogue device receives valid network key</t>
        </is>
      </c>
      <c r="L5" s="35" t="inlineStr">
        <is>
          <t>Open</t>
        </is>
      </c>
      <c r="M5" s="26" t="inlineStr"/>
      <c r="N5" s="26" t="inlineStr"/>
    </row>
    <row r="6" ht="60" customHeight="1">
      <c r="A6" s="18" t="inlineStr">
        <is>
          <t>TC-03</t>
        </is>
      </c>
      <c r="B6" s="19" t="inlineStr">
        <is>
          <t>OTA Key Transport Capture</t>
        </is>
      </c>
      <c r="C6" s="20" t="inlineStr">
        <is>
          <t>Key Attack</t>
        </is>
      </c>
      <c r="D6" s="29" t="inlineStr">
        <is>
          <t>High</t>
        </is>
      </c>
      <c r="E6" s="34" t="n">
        <v>8.1</v>
      </c>
      <c r="F6" s="21" t="inlineStr">
        <is>
          <t>AV:A/AC:H/PR:N/UI:N/S:U/C:H/I:H/A:N</t>
        </is>
      </c>
      <c r="G6" s="20" t="inlineStr">
        <is>
          <t>Clear-text or weakly encrypted key transport on first join</t>
        </is>
      </c>
      <c r="H6" s="20" t="inlineStr">
        <is>
          <t>CC2531/Apimote, KillerBee (zbkey), Wireshark</t>
        </is>
      </c>
      <c r="I6" s="20" t="inlineStr">
        <is>
          <t>TC-01 complete; ability to factory-reset a device</t>
        </is>
      </c>
      <c r="J6" s="20" t="inlineStr">
        <is>
          <t>Capture network key during device re-join OTA; inspect APS Transport Key command (0x05)</t>
        </is>
      </c>
      <c r="K6" s="20" t="inlineStr">
        <is>
          <t>Pass: Key encrypted with unique install-code key; Fail: Key in cleartext or default key encryption</t>
        </is>
      </c>
      <c r="L6" s="35" t="inlineStr">
        <is>
          <t>Open</t>
        </is>
      </c>
      <c r="M6" s="21" t="inlineStr"/>
      <c r="N6" s="21" t="inlineStr"/>
    </row>
    <row r="7" ht="60" customHeight="1">
      <c r="A7" s="18" t="inlineStr">
        <is>
          <t>TC-04</t>
        </is>
      </c>
      <c r="B7" s="24" t="inlineStr">
        <is>
          <t>Firmware Reverse Engineering — Key Extraction</t>
        </is>
      </c>
      <c r="C7" s="25" t="inlineStr">
        <is>
          <t>Key Attack</t>
        </is>
      </c>
      <c r="D7" s="29" t="inlineStr">
        <is>
          <t>High</t>
        </is>
      </c>
      <c r="E7" s="36" t="n">
        <v>7.5</v>
      </c>
      <c r="F7" s="26" t="inlineStr">
        <is>
          <t>AV:N/AC:H/PR:N/UI:N/S:U/C:H/I:H/A:N</t>
        </is>
      </c>
      <c r="G7" s="25" t="inlineStr">
        <is>
          <t>Security keys stored insecurely in firmware flash</t>
        </is>
      </c>
      <c r="H7" s="25" t="inlineStr">
        <is>
          <t>Binwalk, Ghidra, strings, Python</t>
        </is>
      </c>
      <c r="I7" s="25" t="inlineStr">
        <is>
          <t>Firmware binary obtained (OTA update / JTAG / flash read)</t>
        </is>
      </c>
      <c r="J7" s="25" t="inlineStr">
        <is>
          <t>Locate 128-bit key material in firmware via entropy analysis and static reverse engineering</t>
        </is>
      </c>
      <c r="K7" s="25" t="inlineStr">
        <is>
          <t>Pass: Keys not statically stored; Fail: Default or unique key found at identified offset</t>
        </is>
      </c>
      <c r="L7" s="35" t="inlineStr">
        <is>
          <t>Open</t>
        </is>
      </c>
      <c r="M7" s="26" t="inlineStr"/>
      <c r="N7" s="26" t="inlineStr"/>
    </row>
    <row r="8" ht="60" customHeight="1">
      <c r="A8" s="18" t="inlineStr">
        <is>
          <t>TC-05</t>
        </is>
      </c>
      <c r="B8" s="19" t="inlineStr">
        <is>
          <t>Insecure Key Storage — Flash Protection Check</t>
        </is>
      </c>
      <c r="C8" s="20" t="inlineStr">
        <is>
          <t>Key Attack</t>
        </is>
      </c>
      <c r="D8" s="29" t="inlineStr">
        <is>
          <t>High</t>
        </is>
      </c>
      <c r="E8" s="34" t="n">
        <v>7.5</v>
      </c>
      <c r="F8" s="21" t="inlineStr">
        <is>
          <t>AV:P/AC:L/PR:N/UI:N/S:U/C:H/I:H/A:N</t>
        </is>
      </c>
      <c r="G8" s="20" t="inlineStr">
        <is>
          <t>Keys stored in unprotected flash / EEPROM</t>
        </is>
      </c>
      <c r="H8" s="20" t="inlineStr">
        <is>
          <t>JLink EDU Mini, OpenOCD, xxd</t>
        </is>
      </c>
      <c r="I8" s="20" t="inlineStr">
        <is>
          <t>Physical access to target device PCB; JTAG port identified</t>
        </is>
      </c>
      <c r="J8" s="20" t="inlineStr">
        <is>
          <t>Attempt JTAG memory dump; scan NVM regions for key material</t>
        </is>
      </c>
      <c r="K8" s="20" t="inlineStr">
        <is>
          <t>Pass: Flash RDP L2 active, dump fails; Fail: Full flash dump succeeds, keys found</t>
        </is>
      </c>
      <c r="L8" s="35" t="inlineStr">
        <is>
          <t>Open</t>
        </is>
      </c>
      <c r="M8" s="21" t="inlineStr"/>
      <c r="N8" s="21" t="inlineStr"/>
    </row>
    <row r="9" ht="60" customHeight="1">
      <c r="A9" s="18" t="inlineStr">
        <is>
          <t>TC-06</t>
        </is>
      </c>
      <c r="B9" s="24" t="inlineStr">
        <is>
          <t>Radio Jamming — Physical Layer DoS</t>
        </is>
      </c>
      <c r="C9" s="25" t="inlineStr">
        <is>
          <t>Denial of Service</t>
        </is>
      </c>
      <c r="D9" s="29" t="inlineStr">
        <is>
          <t>High</t>
        </is>
      </c>
      <c r="E9" s="36" t="n">
        <v>7.5</v>
      </c>
      <c r="F9" s="26" t="inlineStr">
        <is>
          <t>AV:A/AC:L/PR:N/UI:N/S:U/C:N/I:N/A:H</t>
        </is>
      </c>
      <c r="G9" s="25" t="inlineStr">
        <is>
          <t>IEEE 802.15.4 lacks anti-jam at physical layer</t>
        </is>
      </c>
      <c r="H9" s="25" t="inlineStr">
        <is>
          <t>HackRF One, GNU Radio, gqrx</t>
        </is>
      </c>
      <c r="I9" s="25" t="inlineStr">
        <is>
          <t>Target channel known (TC-01); RF-shielded enclosure</t>
        </is>
      </c>
      <c r="J9" s="25" t="inlineStr">
        <is>
          <t>Generate Gaussian noise on target channel; measure packet loss and device disruption</t>
        </is>
      </c>
      <c r="K9" s="25" t="inlineStr">
        <is>
          <t>Pass: Device switches channels (frequency agility); Fail: &gt;90% packet loss, no recovery</t>
        </is>
      </c>
      <c r="L9" s="35" t="inlineStr">
        <is>
          <t>Open</t>
        </is>
      </c>
      <c r="M9" s="26" t="inlineStr"/>
      <c r="N9" s="26" t="inlineStr"/>
    </row>
    <row r="10" ht="60" customHeight="1">
      <c r="A10" s="18" t="inlineStr">
        <is>
          <t>TC-07</t>
        </is>
      </c>
      <c r="B10" s="19" t="inlineStr">
        <is>
          <t>Link Layer Jamming — MAC DoS</t>
        </is>
      </c>
      <c r="C10" s="20" t="inlineStr">
        <is>
          <t>Denial of Service</t>
        </is>
      </c>
      <c r="D10" s="29" t="inlineStr">
        <is>
          <t>High</t>
        </is>
      </c>
      <c r="E10" s="34" t="n">
        <v>7.5</v>
      </c>
      <c r="F10" s="21" t="inlineStr">
        <is>
          <t>AV:A/AC:L/PR:N/UI:N/S:U/C:N/I:N/A:H</t>
        </is>
      </c>
      <c r="G10" s="20" t="inlineStr">
        <is>
          <t>802.15.4 MAC ACK mechanism exploitable via burst injection</t>
        </is>
      </c>
      <c r="H10" s="20" t="inlineStr">
        <is>
          <t>Apimote, Scapy, wpan-tools</t>
        </is>
      </c>
      <c r="I10" s="20" t="inlineStr">
        <is>
          <t>TC-01 complete; wpan0 interface configured</t>
        </is>
      </c>
      <c r="J10" s="20" t="inlineStr">
        <is>
          <t>Flood network with random ZigBee MAC frames at high rate; monitor ACK failures and packet drop</t>
        </is>
      </c>
      <c r="K10" s="20" t="inlineStr">
        <is>
          <t>Pass: MAC-layer rate limiting active; Fail: Network bandwidth exhausted, DoS achieved</t>
        </is>
      </c>
      <c r="L10" s="35" t="inlineStr">
        <is>
          <t>Open</t>
        </is>
      </c>
      <c r="M10" s="21" t="inlineStr"/>
      <c r="N10" s="21" t="inlineStr"/>
    </row>
    <row r="11" ht="60" customHeight="1">
      <c r="A11" s="18" t="inlineStr">
        <is>
          <t>TC-08</t>
        </is>
      </c>
      <c r="B11" s="24" t="inlineStr">
        <is>
          <t>Energy Depletion — Invalid Security Headers</t>
        </is>
      </c>
      <c r="C11" s="25" t="inlineStr">
        <is>
          <t>Denial of Service</t>
        </is>
      </c>
      <c r="D11" s="22" t="inlineStr">
        <is>
          <t>Medium</t>
        </is>
      </c>
      <c r="E11" s="36" t="n">
        <v>6.5</v>
      </c>
      <c r="F11" s="26" t="inlineStr">
        <is>
          <t>AV:A/AC:L/PR:N/UI:N/S:U/C:N/I:N/A:H</t>
        </is>
      </c>
      <c r="G11" s="25" t="inlineStr">
        <is>
          <t>Devices process security validation even for invalid frames</t>
        </is>
      </c>
      <c r="H11" s="25" t="inlineStr">
        <is>
          <t>Apimote, Scapy, USB power meter</t>
        </is>
      </c>
      <c r="I11" s="25" t="inlineStr">
        <is>
          <t>TC-01 complete; target end device identified; power monitoring attached</t>
        </is>
      </c>
      <c r="J11" s="25" t="inlineStr">
        <is>
          <t>Send 1000 frames with contradictory security headers; measure current draw elevation</t>
        </is>
      </c>
      <c r="K11" s="25" t="inlineStr">
        <is>
          <t>Pass: Rate limiting prevents processing; Fail: Measurable current draw increase ≥15%</t>
        </is>
      </c>
      <c r="L11" s="35" t="inlineStr">
        <is>
          <t>Open</t>
        </is>
      </c>
      <c r="M11" s="26" t="inlineStr"/>
      <c r="N11" s="26" t="inlineStr"/>
    </row>
    <row r="12" ht="60" customHeight="1">
      <c r="A12" s="18" t="inlineStr">
        <is>
          <t>TC-09</t>
        </is>
      </c>
      <c r="B12" s="19" t="inlineStr">
        <is>
          <t>Energy Depletion — Polling Rate Flood</t>
        </is>
      </c>
      <c r="C12" s="20" t="inlineStr">
        <is>
          <t>Denial of Service</t>
        </is>
      </c>
      <c r="D12" s="22" t="inlineStr">
        <is>
          <t>Medium</t>
        </is>
      </c>
      <c r="E12" s="34" t="n">
        <v>6.5</v>
      </c>
      <c r="F12" s="21" t="inlineStr">
        <is>
          <t>AV:A/AC:L/PR:N/UI:N/S:U/C:N/I:N/A:H</t>
        </is>
      </c>
      <c r="G12" s="20" t="inlineStr">
        <is>
          <t>Sleepy end devices wake on data poll; flooding exploits sleep cycle</t>
        </is>
      </c>
      <c r="H12" s="20" t="inlineStr">
        <is>
          <t>Apimote, Scapy</t>
        </is>
      </c>
      <c r="I12" s="20" t="inlineStr">
        <is>
          <t>TC-01 complete; sleepy end device identified</t>
        </is>
      </c>
      <c r="J12" s="20" t="inlineStr">
        <is>
          <t>Flood end device with Data Request commands at 200/sec (&gt;&gt; 1-sec poll interval)</t>
        </is>
      </c>
      <c r="K12" s="20" t="inlineStr">
        <is>
          <t>Pass: Device rejects requests from unknown sources; Fail: Device stays awake, power depleted</t>
        </is>
      </c>
      <c r="L12" s="35" t="inlineStr">
        <is>
          <t>Open</t>
        </is>
      </c>
      <c r="M12" s="21" t="inlineStr"/>
      <c r="N12" s="21" t="inlineStr"/>
    </row>
    <row r="13" ht="60" customHeight="1">
      <c r="A13" s="18" t="inlineStr">
        <is>
          <t>TC-10</t>
        </is>
      </c>
      <c r="B13" s="24" t="inlineStr">
        <is>
          <t>ACK Spoofing Attack</t>
        </is>
      </c>
      <c r="C13" s="25" t="inlineStr">
        <is>
          <t>Protocol Manipulation</t>
        </is>
      </c>
      <c r="D13" s="22" t="inlineStr">
        <is>
          <t>Medium</t>
        </is>
      </c>
      <c r="E13" s="36" t="n">
        <v>6.5</v>
      </c>
      <c r="F13" s="26" t="inlineStr">
        <is>
          <t>AV:A/AC:H/PR:N/UI:N/S:U/C:N/I:H/A:H</t>
        </is>
      </c>
      <c r="G13" s="25" t="inlineStr">
        <is>
          <t>IEEE 802.15.4 ACK frames lack integrity protection</t>
        </is>
      </c>
      <c r="H13" s="25" t="inlineStr">
        <is>
          <t>YARD Stick One (jammer), Apimote (injector), Scapy</t>
        </is>
      </c>
      <c r="I13" s="25" t="inlineStr">
        <is>
          <t>Two hardware interfaces; TC-01 complete; sequence numbers observed</t>
        </is>
      </c>
      <c r="J13" s="25" t="inlineStr">
        <is>
          <t>Jam channel blocking legitimate ACK; inject forged ACK with correct sequence number to sender</t>
        </is>
      </c>
      <c r="K13" s="25" t="inlineStr">
        <is>
          <t>Pass: Enhanced ACK (Enh-Ack) with security enabled; Fail: Sender accepts forged ACK, data lost</t>
        </is>
      </c>
      <c r="L13" s="35" t="inlineStr">
        <is>
          <t>Open</t>
        </is>
      </c>
      <c r="M13" s="26" t="inlineStr"/>
      <c r="N13" s="26" t="inlineStr"/>
    </row>
    <row r="14" ht="60" customHeight="1">
      <c r="A14" s="18" t="inlineStr">
        <is>
          <t>TC-11</t>
        </is>
      </c>
      <c r="B14" s="19" t="inlineStr">
        <is>
          <t>ACK Dropping Attack</t>
        </is>
      </c>
      <c r="C14" s="20" t="inlineStr">
        <is>
          <t>Protocol Manipulation</t>
        </is>
      </c>
      <c r="D14" s="22" t="inlineStr">
        <is>
          <t>Medium</t>
        </is>
      </c>
      <c r="E14" s="34" t="n">
        <v>6.5</v>
      </c>
      <c r="F14" s="21" t="inlineStr">
        <is>
          <t>AV:A/AC:H/PR:N/UI:N/S:U/C:N/I:N/A:H</t>
        </is>
      </c>
      <c r="G14" s="20" t="inlineStr">
        <is>
          <t>Selective ACK jamming forces retransmission storm</t>
        </is>
      </c>
      <c r="H14" s="20" t="inlineStr">
        <is>
          <t>YARD Stick One, Scapy timing monitor</t>
        </is>
      </c>
      <c r="I14" s="20" t="inlineStr">
        <is>
          <t>ACK timing pattern profiled from TC-01 capture</t>
        </is>
      </c>
      <c r="J14" s="20" t="inlineStr">
        <is>
          <t>Selectively jam only ACK window; force sender into max retransmit loop; measure bandwidth exhaustion</t>
        </is>
      </c>
      <c r="K14" s="20" t="inlineStr">
        <is>
          <t>Pass: Application-layer ACK with retry timeout; Fail: Network bandwidth depleted</t>
        </is>
      </c>
      <c r="L14" s="35" t="inlineStr">
        <is>
          <t>Open</t>
        </is>
      </c>
      <c r="M14" s="21" t="inlineStr"/>
      <c r="N14" s="21" t="inlineStr"/>
    </row>
    <row r="15" ht="60" customHeight="1">
      <c r="A15" s="18" t="inlineStr">
        <is>
          <t>TC-12</t>
        </is>
      </c>
      <c r="B15" s="24" t="inlineStr">
        <is>
          <t>Replay Attack — Frame Counter Manipulation</t>
        </is>
      </c>
      <c r="C15" s="25" t="inlineStr">
        <is>
          <t>Protocol Manipulation</t>
        </is>
      </c>
      <c r="D15" s="29" t="inlineStr">
        <is>
          <t>High</t>
        </is>
      </c>
      <c r="E15" s="36" t="n">
        <v>7.4</v>
      </c>
      <c r="F15" s="26" t="inlineStr">
        <is>
          <t>AV:A/AC:H/PR:N/UI:N/S:U/C:N/I:H/A:H</t>
        </is>
      </c>
      <c r="G15" s="25" t="inlineStr">
        <is>
          <t>Replay protection exploitable with large counter values</t>
        </is>
      </c>
      <c r="H15" s="25" t="inlineStr">
        <is>
          <t>Apimote, Scapy, KillerBee (zbreplay)</t>
        </is>
      </c>
      <c r="I15" s="25" t="inlineStr">
        <is>
          <t>TC-01 complete; frame counter values observed</t>
        </is>
      </c>
      <c r="J15" s="25" t="inlineStr">
        <is>
          <t>Inject frame with counter=0xFFFFFFFE; observe target dropping subsequent legitimate frames</t>
        </is>
      </c>
      <c r="K15" s="25" t="inlineStr">
        <is>
          <t>Pass: Counter jump validation active (threshold check); Fail: All future frames rejected</t>
        </is>
      </c>
      <c r="L15" s="35" t="inlineStr">
        <is>
          <t>Open</t>
        </is>
      </c>
      <c r="M15" s="26" t="inlineStr"/>
      <c r="N15" s="26" t="inlineStr"/>
    </row>
    <row r="16" ht="60" customHeight="1">
      <c r="A16" s="18" t="inlineStr">
        <is>
          <t>TC-13</t>
        </is>
      </c>
      <c r="B16" s="19" t="inlineStr">
        <is>
          <t>Rogue Device — Unauthorized Node Join</t>
        </is>
      </c>
      <c r="C16" s="20" t="inlineStr">
        <is>
          <t>Authentication Bypass</t>
        </is>
      </c>
      <c r="D16" s="29" t="inlineStr">
        <is>
          <t>High</t>
        </is>
      </c>
      <c r="E16" s="34" t="n">
        <v>8.800000000000001</v>
      </c>
      <c r="F16" s="21" t="inlineStr">
        <is>
          <t>AV:A/AC:L/PR:N/UI:N/S:U/C:H/I:H/A:N</t>
        </is>
      </c>
      <c r="G16" s="20" t="inlineStr">
        <is>
          <t>Distributed security mode; no centralized device authentication</t>
        </is>
      </c>
      <c r="H16" s="20" t="inlineStr">
        <is>
          <t>Apimote, ZigDiggity</t>
        </is>
      </c>
      <c r="I16" s="20" t="inlineStr">
        <is>
          <t>TC-01 complete; distributed security mode confirmed</t>
        </is>
      </c>
      <c r="J16" s="20" t="inlineStr">
        <is>
          <t>Join network via any router using distributed security global link key</t>
        </is>
      </c>
      <c r="K16" s="20" t="inlineStr">
        <is>
          <t>Pass: Join rejected, centralized TC enforced; Fail: Rogue device joins, receives NWK key</t>
        </is>
      </c>
      <c r="L16" s="35" t="inlineStr">
        <is>
          <t>Open</t>
        </is>
      </c>
      <c r="M16" s="21" t="inlineStr"/>
      <c r="N16" s="21" t="inlineStr"/>
    </row>
    <row r="17" ht="60" customHeight="1">
      <c r="A17" s="18" t="inlineStr">
        <is>
          <t>TC-14</t>
        </is>
      </c>
      <c r="B17" s="24" t="inlineStr">
        <is>
          <t>Link Key Re-use — Device Cloning</t>
        </is>
      </c>
      <c r="C17" s="25" t="inlineStr">
        <is>
          <t>Authentication Bypass</t>
        </is>
      </c>
      <c r="D17" s="29" t="inlineStr">
        <is>
          <t>High</t>
        </is>
      </c>
      <c r="E17" s="36" t="n">
        <v>8.1</v>
      </c>
      <c r="F17" s="26" t="inlineStr">
        <is>
          <t>AV:A/AC:H/PR:N/UI:N/S:U/C:H/I:H/A:N</t>
        </is>
      </c>
      <c r="G17" s="25" t="inlineStr">
        <is>
          <t>ZigBee permits link key re-use for rejoin; enables device spoofing</t>
        </is>
      </c>
      <c r="H17" s="25" t="inlineStr">
        <is>
          <t>Apimote, Scapy, ZigDiggity</t>
        </is>
      </c>
      <c r="I17" s="25" t="inlineStr">
        <is>
          <t>TC-01 complete; target device address and link key exchange captured</t>
        </is>
      </c>
      <c r="J17" s="25" t="inlineStr">
        <is>
          <t>Clone legitimate device address; send rejoin request; obtain TC response with keys encrypted with old link key</t>
        </is>
      </c>
      <c r="K17" s="25" t="inlineStr">
        <is>
          <t>Pass: Link keys rotated after each rejoin; Fail: TC responds with keys to cloned device</t>
        </is>
      </c>
      <c r="L17" s="35" t="inlineStr">
        <is>
          <t>Open</t>
        </is>
      </c>
      <c r="M17" s="26" t="inlineStr"/>
      <c r="N17" s="26" t="inlineStr"/>
    </row>
    <row r="18" ht="60" customHeight="1">
      <c r="A18" s="18" t="inlineStr">
        <is>
          <t>TC-15</t>
        </is>
      </c>
      <c r="B18" s="19" t="inlineStr">
        <is>
          <t>Trust Center Impersonation (Evil Twin)</t>
        </is>
      </c>
      <c r="C18" s="20" t="inlineStr">
        <is>
          <t>Authentication Bypass</t>
        </is>
      </c>
      <c r="D18" s="27" t="inlineStr">
        <is>
          <t>Critical</t>
        </is>
      </c>
      <c r="E18" s="34" t="n">
        <v>9</v>
      </c>
      <c r="F18" s="21" t="inlineStr">
        <is>
          <t>AV:A/AC:H/PR:N/UI:N/S:C/C:H/I:H/A:N</t>
        </is>
      </c>
      <c r="G18" s="20" t="inlineStr">
        <is>
          <t>No mutual authentication between TC and joining device</t>
        </is>
      </c>
      <c r="H18" s="20" t="inlineStr">
        <is>
          <t>Apimote/ESP32-H2, ZigDiggity (evil_twin)</t>
        </is>
      </c>
      <c r="I18" s="20" t="inlineStr">
        <is>
          <t>TC-01 complete; PAN ID known; physical proximity to joining device</t>
        </is>
      </c>
      <c r="J18" s="20" t="inlineStr">
        <is>
          <t>Create rogue coordinator with same PAN ID; intercept device join; distribute attacker-controlled NWK key</t>
        </is>
      </c>
      <c r="K18" s="20" t="inlineStr">
        <is>
          <t>Pass: Joining device validates TC certificate; Fail: Device joins rogue network</t>
        </is>
      </c>
      <c r="L18" s="35" t="inlineStr">
        <is>
          <t>Open</t>
        </is>
      </c>
      <c r="M18" s="21" t="inlineStr"/>
      <c r="N18" s="21" t="inlineStr"/>
    </row>
    <row r="19" ht="60" customHeight="1">
      <c r="A19" s="18" t="inlineStr">
        <is>
          <t>TC-16</t>
        </is>
      </c>
      <c r="B19" s="24" t="inlineStr">
        <is>
          <t>Unencrypted Link Key Sniffing — First Join</t>
        </is>
      </c>
      <c r="C19" s="25" t="inlineStr">
        <is>
          <t>Key Attack</t>
        </is>
      </c>
      <c r="D19" s="29" t="inlineStr">
        <is>
          <t>High</t>
        </is>
      </c>
      <c r="E19" s="36" t="n">
        <v>8.1</v>
      </c>
      <c r="F19" s="26" t="inlineStr">
        <is>
          <t>AV:A/AC:H/PR:N/UI:N/S:U/C:H/I:H/A:N</t>
        </is>
      </c>
      <c r="G19" s="25" t="inlineStr">
        <is>
          <t>TC sends default link key unencrypted to devices without pre-config</t>
        </is>
      </c>
      <c r="H19" s="25" t="inlineStr">
        <is>
          <t>CC2531/Apimote, KillerBee, Wireshark</t>
        </is>
      </c>
      <c r="I19" s="25" t="inlineStr">
        <is>
          <t>TC-01 capture running; factory-reset device without pre-installed key available</t>
        </is>
      </c>
      <c r="J19" s="25" t="inlineStr">
        <is>
          <t>Capture first-join sequence; inspect APS Transport Key frame for APS Security=False</t>
        </is>
      </c>
      <c r="K19" s="25" t="inlineStr">
        <is>
          <t>Pass: APS encryption on Transport Key; Fail: Key in cleartext in APS cmd payload</t>
        </is>
      </c>
      <c r="L19" s="35" t="inlineStr">
        <is>
          <t>Open</t>
        </is>
      </c>
      <c r="M19" s="26" t="inlineStr"/>
      <c r="N19" s="26" t="inlineStr"/>
    </row>
    <row r="20" ht="60" customHeight="1">
      <c r="A20" s="18" t="inlineStr">
        <is>
          <t>TC-17</t>
        </is>
      </c>
      <c r="B20" s="19" t="inlineStr">
        <is>
          <t>Security Level Downgrade</t>
        </is>
      </c>
      <c r="C20" s="20" t="inlineStr">
        <is>
          <t>Protocol Manipulation</t>
        </is>
      </c>
      <c r="D20" s="29" t="inlineStr">
        <is>
          <t>High</t>
        </is>
      </c>
      <c r="E20" s="34" t="n">
        <v>7.4</v>
      </c>
      <c r="F20" s="21" t="inlineStr">
        <is>
          <t>AV:A/AC:H/PR:N/UI:N/S:U/C:L/I:H/A:N</t>
        </is>
      </c>
      <c r="G20" s="20" t="inlineStr">
        <is>
          <t>Security level field not independently authenticated</t>
        </is>
      </c>
      <c r="H20" s="20" t="inlineStr">
        <is>
          <t>Apimote, Scapy</t>
        </is>
      </c>
      <c r="I20" s="20" t="inlineStr">
        <is>
          <t>TC-01 complete; wpan0 interface configured</t>
        </is>
      </c>
      <c r="J20" s="20" t="inlineStr">
        <is>
          <t>Inject frames with security level 0x00 (None) or 0x04 (ENC only); observe if target processes them</t>
        </is>
      </c>
      <c r="K20" s="20" t="inlineStr">
        <is>
          <t>Pass: Target rejects below-minimum security level; Fail: Downgraded frame accepted and processed</t>
        </is>
      </c>
      <c r="L20" s="35" t="inlineStr">
        <is>
          <t>Open</t>
        </is>
      </c>
      <c r="M20" s="21" t="inlineStr"/>
      <c r="N20" s="21" t="inlineStr"/>
    </row>
    <row r="21" ht="60" customHeight="1">
      <c r="A21" s="18" t="inlineStr">
        <is>
          <t>TC-18</t>
        </is>
      </c>
      <c r="B21" s="24" t="inlineStr">
        <is>
          <t>Frame Counter Reset After Key Rotation</t>
        </is>
      </c>
      <c r="C21" s="25" t="inlineStr">
        <is>
          <t>Protocol Manipulation</t>
        </is>
      </c>
      <c r="D21" s="22" t="inlineStr">
        <is>
          <t>Medium</t>
        </is>
      </c>
      <c r="E21" s="36" t="n">
        <v>6.5</v>
      </c>
      <c r="F21" s="26" t="inlineStr">
        <is>
          <t>AV:A/AC:H/PR:N/UI:N/S:U/C:N/I:H/A:N</t>
        </is>
      </c>
      <c r="G21" s="25" t="inlineStr">
        <is>
          <t>Key rotation resets counters; enables replay of pre-rotation frames</t>
        </is>
      </c>
      <c r="H21" s="25" t="inlineStr">
        <is>
          <t>KillerBee (zbreplay), Wireshark</t>
        </is>
      </c>
      <c r="I21" s="25" t="inlineStr">
        <is>
          <t>TC-01 capture running before and after key rotation</t>
        </is>
      </c>
      <c r="J21" s="25" t="inlineStr">
        <is>
          <t>Replay frames from pre-rotation capture after key update; counter reset makes old frames fresh</t>
        </is>
      </c>
      <c r="K21" s="25" t="inlineStr">
        <is>
          <t>Pass: Per-device persistent counters across rotations; Fail: Replayed frames accepted</t>
        </is>
      </c>
      <c r="L21" s="35" t="inlineStr">
        <is>
          <t>Open</t>
        </is>
      </c>
      <c r="M21" s="26" t="inlineStr"/>
      <c r="N21" s="26" t="inlineStr"/>
    </row>
    <row r="22" ht="60" customHeight="1">
      <c r="A22" s="18" t="inlineStr">
        <is>
          <t>TC-19</t>
        </is>
      </c>
      <c r="B22" s="19" t="inlineStr">
        <is>
          <t>Distributed Security Mode — Shared Key Weakness</t>
        </is>
      </c>
      <c r="C22" s="20" t="inlineStr">
        <is>
          <t>Authentication Bypass</t>
        </is>
      </c>
      <c r="D22" s="29" t="inlineStr">
        <is>
          <t>High</t>
        </is>
      </c>
      <c r="E22" s="34" t="n">
        <v>8.800000000000001</v>
      </c>
      <c r="F22" s="21" t="inlineStr">
        <is>
          <t>AV:A/AC:L/PR:N/UI:N/S:U/C:H/I:H/A:N</t>
        </is>
      </c>
      <c r="G22" s="20" t="inlineStr">
        <is>
          <t>All nodes share one network key; one compromise = full network exposed</t>
        </is>
      </c>
      <c r="H22" s="20" t="inlineStr">
        <is>
          <t>Apimote, ZigDiggity, Wireshark</t>
        </is>
      </c>
      <c r="I22" s="20" t="inlineStr">
        <is>
          <t>TC-01 complete; distributed mode confirmed</t>
        </is>
      </c>
      <c r="J22" s="20" t="inlineStr">
        <is>
          <t>Join via any router; demonstrate single key decrypts all node-to-node traffic</t>
        </is>
      </c>
      <c r="K22" s="20" t="inlineStr">
        <is>
          <t>Pass: Centralized TC enforced OR per-device app-layer encryption; Fail: Single key decrypts all</t>
        </is>
      </c>
      <c r="L22" s="35" t="inlineStr">
        <is>
          <t>Open</t>
        </is>
      </c>
      <c r="M22" s="21" t="inlineStr"/>
      <c r="N22" s="21" t="inlineStr"/>
    </row>
    <row r="23" ht="60" customHeight="1">
      <c r="A23" s="18" t="inlineStr">
        <is>
          <t>TC-20</t>
        </is>
      </c>
      <c r="B23" s="24" t="inlineStr">
        <is>
          <t>Physical Tamper — JTAG/UART Debug Extraction</t>
        </is>
      </c>
      <c r="C23" s="25" t="inlineStr">
        <is>
          <t>Physical/Hardware</t>
        </is>
      </c>
      <c r="D23" s="22" t="inlineStr">
        <is>
          <t>Medium</t>
        </is>
      </c>
      <c r="E23" s="36" t="n">
        <v>6.8</v>
      </c>
      <c r="F23" s="26" t="inlineStr">
        <is>
          <t>AV:P/AC:L/PR:N/UI:N/S:U/C:H/I:H/A:H</t>
        </is>
      </c>
      <c r="G23" s="25" t="inlineStr">
        <is>
          <t>Debug interfaces active on production devices; enables key/firmware extraction</t>
        </is>
      </c>
      <c r="H23" s="25" t="inlineStr">
        <is>
          <t>JLink EDU Mini, OpenOCD, Bus Pirate, minicom</t>
        </is>
      </c>
      <c r="I23" s="25" t="inlineStr">
        <is>
          <t>Physical device access; PCB debug port identified (JTAG/SWD/UART)</t>
        </is>
      </c>
      <c r="J23" s="25" t="inlineStr">
        <is>
          <t>Connect to debug port; attempt full flash dump; scan UART boot log for key material</t>
        </is>
      </c>
      <c r="K23" s="25" t="inlineStr">
        <is>
          <t>Pass: RDP L2 active, no UART output in production; Fail: Full firmware extracted or key in UART log</t>
        </is>
      </c>
      <c r="L23" s="35" t="inlineStr">
        <is>
          <t>Open</t>
        </is>
      </c>
      <c r="M23" s="26" t="inlineStr"/>
      <c r="N23" s="26" t="inlineStr"/>
    </row>
  </sheetData>
  <mergeCells count="1"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95C"/>
    <outlinePr summaryBelow="1" summaryRight="1"/>
    <pageSetUpPr/>
  </sheetPr>
  <dimension ref="A2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7" customWidth="1" min="3" max="3"/>
    <col width="48" customWidth="1" min="4" max="4"/>
    <col width="18" customWidth="1" min="5" max="5"/>
    <col width="35" customWidth="1" min="6" max="6"/>
    <col width="35" customWidth="1" min="7" max="7"/>
  </cols>
  <sheetData>
    <row r="1" ht="14" customHeight="1"/>
    <row r="2" ht="40" customHeight="1">
      <c r="A2" s="37" t="inlineStr">
        <is>
          <t>ZigBee — Detailed Attack Payloads &amp; Step-by-Step Procedures</t>
        </is>
      </c>
    </row>
    <row r="3">
      <c r="A3" s="33" t="inlineStr">
        <is>
          <t>TC ID</t>
        </is>
      </c>
      <c r="B3" s="33" t="inlineStr">
        <is>
          <t>Attack Phase</t>
        </is>
      </c>
      <c r="C3" s="33" t="inlineStr">
        <is>
          <t>Step #</t>
        </is>
      </c>
      <c r="D3" s="33" t="inlineStr">
        <is>
          <t>Command / Payload</t>
        </is>
      </c>
      <c r="E3" s="33" t="inlineStr">
        <is>
          <t>Tool</t>
        </is>
      </c>
      <c r="F3" s="33" t="inlineStr">
        <is>
          <t>Expected Output</t>
        </is>
      </c>
      <c r="G3" s="33" t="inlineStr">
        <is>
          <t>Notes</t>
        </is>
      </c>
    </row>
    <row r="4" ht="45" customHeight="1">
      <c r="A4" s="18" t="inlineStr">
        <is>
          <t>TC-01</t>
        </is>
      </c>
      <c r="B4" s="19" t="inlineStr">
        <is>
          <t>Reconnaissance</t>
        </is>
      </c>
      <c r="C4" s="21" t="inlineStr">
        <is>
          <t>1</t>
        </is>
      </c>
      <c r="D4" s="38" t="inlineStr">
        <is>
          <t>zbid</t>
        </is>
      </c>
      <c r="E4" s="20" t="inlineStr">
        <is>
          <t>KillerBee</t>
        </is>
      </c>
      <c r="F4" s="20" t="inlineStr">
        <is>
          <t>List of ZigBee interfaces detected</t>
        </is>
      </c>
      <c r="G4" s="39" t="inlineStr">
        <is>
          <t>Run first to confirm hardware</t>
        </is>
      </c>
    </row>
    <row r="5" ht="45" customHeight="1">
      <c r="A5" s="18" t="inlineStr">
        <is>
          <t>TC-01</t>
        </is>
      </c>
      <c r="B5" s="24" t="inlineStr">
        <is>
          <t>Reconnaissance</t>
        </is>
      </c>
      <c r="C5" s="26" t="inlineStr">
        <is>
          <t>2</t>
        </is>
      </c>
      <c r="D5" s="38" t="inlineStr">
        <is>
          <t>zbscan -i /dev/ttyUSB0</t>
        </is>
      </c>
      <c r="E5" s="25" t="inlineStr">
        <is>
          <t>KillerBee</t>
        </is>
      </c>
      <c r="F5" s="25" t="inlineStr">
        <is>
          <t>PAN ID, channel, coordinator EUI64 listed</t>
        </is>
      </c>
      <c r="G5" s="40" t="inlineStr">
        <is>
          <t>Scans all 16 channels 11-26</t>
        </is>
      </c>
    </row>
    <row r="6" ht="45" customHeight="1">
      <c r="A6" s="18" t="inlineStr">
        <is>
          <t>TC-01</t>
        </is>
      </c>
      <c r="B6" s="19" t="inlineStr">
        <is>
          <t>Capture</t>
        </is>
      </c>
      <c r="C6" s="21" t="inlineStr">
        <is>
          <t>3</t>
        </is>
      </c>
      <c r="D6" s="38" t="inlineStr">
        <is>
          <t>zbdump -i /dev/ttyUSB0 -c 15 -w capture.pcap</t>
        </is>
      </c>
      <c r="E6" s="20" t="inlineStr">
        <is>
          <t>KillerBee</t>
        </is>
      </c>
      <c r="F6" s="20" t="inlineStr">
        <is>
          <t>PCAP file with raw 802.15.4 frames</t>
        </is>
      </c>
      <c r="G6" s="39" t="inlineStr">
        <is>
          <t>Replace 15 with discovered channel</t>
        </is>
      </c>
    </row>
    <row r="7" ht="45" customHeight="1">
      <c r="A7" s="18" t="inlineStr">
        <is>
          <t>TC-01</t>
        </is>
      </c>
      <c r="B7" s="24" t="inlineStr">
        <is>
          <t>Analysis</t>
        </is>
      </c>
      <c r="C7" s="26" t="inlineStr">
        <is>
          <t>4</t>
        </is>
      </c>
      <c r="D7" s="38" t="inlineStr">
        <is>
          <t>wireshark capture.pcap</t>
        </is>
      </c>
      <c r="E7" s="25" t="inlineStr">
        <is>
          <t>Wireshark</t>
        </is>
      </c>
      <c r="F7" s="25" t="inlineStr">
        <is>
          <t>Decoded ZigBee frames with security level visible</t>
        </is>
      </c>
      <c r="G7" s="40" t="inlineStr">
        <is>
          <t>Check Auxiliary Security Header &gt; Security Level</t>
        </is>
      </c>
    </row>
    <row r="8" ht="45" customHeight="1">
      <c r="A8" s="18" t="inlineStr">
        <is>
          <t>TC-02</t>
        </is>
      </c>
      <c r="B8" s="19" t="inlineStr">
        <is>
          <t>Key Setup</t>
        </is>
      </c>
      <c r="C8" s="21" t="inlineStr">
        <is>
          <t>1</t>
        </is>
      </c>
      <c r="D8" s="38" t="inlineStr">
        <is>
          <t>set link_key 5A6967426565416C6C69616E636530 39</t>
        </is>
      </c>
      <c r="E8" s="20" t="inlineStr">
        <is>
          <t>ZigDiggity</t>
        </is>
      </c>
      <c r="F8" s="20" t="inlineStr">
        <is>
          <t>Key loaded</t>
        </is>
      </c>
      <c r="G8" s="39" t="inlineStr">
        <is>
          <t>ZigBeeAlliance09 in hex</t>
        </is>
      </c>
    </row>
    <row r="9" ht="45" customHeight="1">
      <c r="A9" s="18" t="inlineStr">
        <is>
          <t>TC-02</t>
        </is>
      </c>
      <c r="B9" s="24" t="inlineStr">
        <is>
          <t>Join Attempt</t>
        </is>
      </c>
      <c r="C9" s="26" t="inlineStr">
        <is>
          <t>2</t>
        </is>
      </c>
      <c r="D9" s="38" t="inlineStr">
        <is>
          <t>join_network --pan_id 0x1A2B</t>
        </is>
      </c>
      <c r="E9" s="25" t="inlineStr">
        <is>
          <t>ZigDiggity</t>
        </is>
      </c>
      <c r="F9" s="25" t="inlineStr">
        <is>
          <t>Success/Fail log</t>
        </is>
      </c>
      <c r="G9" s="40" t="inlineStr">
        <is>
          <t>Monitor Wireshark for APS Transport Key cmd</t>
        </is>
      </c>
    </row>
    <row r="10" ht="45" customHeight="1">
      <c r="A10" s="18" t="inlineStr">
        <is>
          <t>TC-02</t>
        </is>
      </c>
      <c r="B10" s="19" t="inlineStr">
        <is>
          <t>Verification</t>
        </is>
      </c>
      <c r="C10" s="21" t="inlineStr">
        <is>
          <t>3</t>
        </is>
      </c>
      <c r="D10" s="38" t="inlineStr">
        <is>
          <t>zbdump -i /dev/ttyUSB0 -c 15 -w join.pcap</t>
        </is>
      </c>
      <c r="E10" s="20" t="inlineStr">
        <is>
          <t>KillerBee</t>
        </is>
      </c>
      <c r="F10" s="20" t="inlineStr">
        <is>
          <t>Capture of join exchange</t>
        </is>
      </c>
      <c r="G10" s="39" t="inlineStr">
        <is>
          <t>Decrypt with default key in Wireshark prefs</t>
        </is>
      </c>
    </row>
    <row r="11" ht="45" customHeight="1">
      <c r="A11" s="18" t="inlineStr">
        <is>
          <t>TC-03</t>
        </is>
      </c>
      <c r="B11" s="24" t="inlineStr">
        <is>
          <t>Capture Start</t>
        </is>
      </c>
      <c r="C11" s="26" t="inlineStr">
        <is>
          <t>1</t>
        </is>
      </c>
      <c r="D11" s="38" t="inlineStr">
        <is>
          <t>zbdump -i /dev/ttyUSB0 -c 15 -w ota_key.pcap &amp;</t>
        </is>
      </c>
      <c r="E11" s="25" t="inlineStr">
        <is>
          <t>KillerBee</t>
        </is>
      </c>
      <c r="F11" s="25" t="inlineStr">
        <is>
          <t>Background capture running</t>
        </is>
      </c>
      <c r="G11" s="40" t="inlineStr">
        <is>
          <t>Must start BEFORE triggering device join</t>
        </is>
      </c>
    </row>
    <row r="12" ht="45" customHeight="1">
      <c r="A12" s="18" t="inlineStr">
        <is>
          <t>TC-03</t>
        </is>
      </c>
      <c r="B12" s="19" t="inlineStr">
        <is>
          <t>Trigger Join</t>
        </is>
      </c>
      <c r="C12" s="21" t="inlineStr">
        <is>
          <t>2</t>
        </is>
      </c>
      <c r="D12" s="38" t="inlineStr">
        <is>
          <t>Factory reset target device (device-specific button)</t>
        </is>
      </c>
      <c r="E12" s="20" t="inlineStr">
        <is>
          <t>Physical</t>
        </is>
      </c>
      <c r="F12" s="20" t="inlineStr">
        <is>
          <t>Device re-joins network</t>
        </is>
      </c>
      <c r="G12" s="39" t="inlineStr">
        <is>
          <t>Triggers key transport from coordinator</t>
        </is>
      </c>
    </row>
    <row r="13" ht="45" customHeight="1">
      <c r="A13" s="18" t="inlineStr">
        <is>
          <t>TC-03</t>
        </is>
      </c>
      <c r="B13" s="24" t="inlineStr">
        <is>
          <t>Analysis</t>
        </is>
      </c>
      <c r="C13" s="26" t="inlineStr">
        <is>
          <t>3</t>
        </is>
      </c>
      <c r="D13" s="38" t="inlineStr">
        <is>
          <t>Filter: zbee_aps.cmd.id == 0x05</t>
        </is>
      </c>
      <c r="E13" s="25" t="inlineStr">
        <is>
          <t>Wireshark</t>
        </is>
      </c>
      <c r="F13" s="25" t="inlineStr">
        <is>
          <t>APS Transport Key frame visible</t>
        </is>
      </c>
      <c r="G13" s="40" t="inlineStr">
        <is>
          <t>Check if APS Security field is False (cleartext)</t>
        </is>
      </c>
    </row>
    <row r="14" ht="45" customHeight="1">
      <c r="A14" s="18" t="inlineStr">
        <is>
          <t>TC-03</t>
        </is>
      </c>
      <c r="B14" s="19" t="inlineStr">
        <is>
          <t>Key Extract</t>
        </is>
      </c>
      <c r="C14" s="21" t="inlineStr">
        <is>
          <t>4</t>
        </is>
      </c>
      <c r="D14" s="38" t="inlineStr">
        <is>
          <t>zbkey -f ota_key.pcap</t>
        </is>
      </c>
      <c r="E14" s="20" t="inlineStr">
        <is>
          <t>KillerBee</t>
        </is>
      </c>
      <c r="F14" s="20" t="inlineStr">
        <is>
          <t>Extracted 128-bit network key</t>
        </is>
      </c>
      <c r="G14" s="39" t="inlineStr">
        <is>
          <t>Critical finding if key in plaintext</t>
        </is>
      </c>
    </row>
    <row r="15" ht="45" customHeight="1">
      <c r="A15" s="18" t="inlineStr">
        <is>
          <t>TC-04</t>
        </is>
      </c>
      <c r="B15" s="24" t="inlineStr">
        <is>
          <t>Extraction</t>
        </is>
      </c>
      <c r="C15" s="26" t="inlineStr">
        <is>
          <t>1</t>
        </is>
      </c>
      <c r="D15" s="38" t="inlineStr">
        <is>
          <t>binwalk -e firmware.bin</t>
        </is>
      </c>
      <c r="E15" s="25" t="inlineStr">
        <is>
          <t>Binwalk</t>
        </is>
      </c>
      <c r="F15" s="25" t="inlineStr">
        <is>
          <t>Extracted filesystem / raw sections</t>
        </is>
      </c>
      <c r="G15" s="40" t="inlineStr">
        <is>
          <t>Also run: binwalk --entropy for visual check</t>
        </is>
      </c>
    </row>
    <row r="16" ht="45" customHeight="1">
      <c r="A16" s="18" t="inlineStr">
        <is>
          <t>TC-04</t>
        </is>
      </c>
      <c r="B16" s="19" t="inlineStr">
        <is>
          <t>Key Search</t>
        </is>
      </c>
      <c r="C16" s="21" t="inlineStr">
        <is>
          <t>2</t>
        </is>
      </c>
      <c r="D16" s="38" t="inlineStr">
        <is>
          <t>strings firmware.bin | grep -iE 'zigbee|alliance|5a69'</t>
        </is>
      </c>
      <c r="E16" s="20" t="inlineStr">
        <is>
          <t>strings</t>
        </is>
      </c>
      <c r="F16" s="20" t="inlineStr">
        <is>
          <t>Matching strings with offsets</t>
        </is>
      </c>
      <c r="G16" s="39" t="inlineStr">
        <is>
          <t>Look for ZigBeeAlliance09 pattern</t>
        </is>
      </c>
    </row>
    <row r="17" ht="45" customHeight="1">
      <c r="A17" s="18" t="inlineStr">
        <is>
          <t>TC-04</t>
        </is>
      </c>
      <c r="B17" s="24" t="inlineStr">
        <is>
          <t>Deep Analysis</t>
        </is>
      </c>
      <c r="C17" s="26" t="inlineStr">
        <is>
          <t>3</t>
        </is>
      </c>
      <c r="D17" s="38" t="inlineStr">
        <is>
          <t>Load in Ghidra; search refs to 'nwk_key', 'link_key'</t>
        </is>
      </c>
      <c r="E17" s="25" t="inlineStr">
        <is>
          <t>Ghidra</t>
        </is>
      </c>
      <c r="F17" s="25" t="inlineStr">
        <is>
          <t>Key storage location and access function</t>
        </is>
      </c>
      <c r="G17" s="40" t="inlineStr">
        <is>
          <t>Cross-ref XREFs to identified key bytes</t>
        </is>
      </c>
    </row>
    <row r="18" ht="45" customHeight="1">
      <c r="A18" s="18" t="inlineStr">
        <is>
          <t>TC-04</t>
        </is>
      </c>
      <c r="B18" s="19" t="inlineStr">
        <is>
          <t>Hex Scan</t>
        </is>
      </c>
      <c r="C18" s="21" t="inlineStr">
        <is>
          <t>4</t>
        </is>
      </c>
      <c r="D18" s="38" t="inlineStr">
        <is>
          <t>xxd firmware.bin | grep -B2 -A2 '5a 69 67 42'</t>
        </is>
      </c>
      <c r="E18" s="20" t="inlineStr">
        <is>
          <t>xxd</t>
        </is>
      </c>
      <c r="F18" s="20" t="inlineStr">
        <is>
          <t>Hex offset of default key</t>
        </is>
      </c>
      <c r="G18" s="39" t="inlineStr">
        <is>
          <t>Offset usable for direct memory read</t>
        </is>
      </c>
    </row>
    <row r="19" ht="45" customHeight="1">
      <c r="A19" s="18" t="inlineStr">
        <is>
          <t>TC-08</t>
        </is>
      </c>
      <c r="B19" s="24" t="inlineStr">
        <is>
          <t>Craft Frame</t>
        </is>
      </c>
      <c r="C19" s="26" t="inlineStr">
        <is>
          <t>1</t>
        </is>
      </c>
      <c r="D19" s="38" t="inlineStr">
        <is>
          <t>Craft NWK frame: fcf security=1, sec_level=0x28, counter=0xFFFFFFFF, corrupt MIC</t>
        </is>
      </c>
      <c r="E19" s="25" t="inlineStr">
        <is>
          <t>Scapy</t>
        </is>
      </c>
      <c r="F19" s="25" t="inlineStr">
        <is>
          <t>Frame bytes ready</t>
        </is>
      </c>
      <c r="G19" s="40" t="inlineStr">
        <is>
          <t>Contradiction forces full crypto verification</t>
        </is>
      </c>
    </row>
    <row r="20" ht="45" customHeight="1">
      <c r="A20" s="18" t="inlineStr">
        <is>
          <t>TC-08</t>
        </is>
      </c>
      <c r="B20" s="19" t="inlineStr">
        <is>
          <t>Burst Send</t>
        </is>
      </c>
      <c r="C20" s="21" t="inlineStr">
        <is>
          <t>2</t>
        </is>
      </c>
      <c r="D20" s="38" t="inlineStr">
        <is>
          <t>sendp(frame, iface='wpan0', count=1000, inter=0.001)</t>
        </is>
      </c>
      <c r="E20" s="20" t="inlineStr">
        <is>
          <t>Scapy</t>
        </is>
      </c>
      <c r="F20" s="20" t="inlineStr">
        <is>
          <t>1000 frames sent in ~1 second</t>
        </is>
      </c>
      <c r="G20" s="39" t="inlineStr">
        <is>
          <t>Monitor device current draw simultaneously</t>
        </is>
      </c>
    </row>
    <row r="21" ht="45" customHeight="1">
      <c r="A21" s="18" t="inlineStr">
        <is>
          <t>TC-08</t>
        </is>
      </c>
      <c r="B21" s="24" t="inlineStr">
        <is>
          <t>Measure</t>
        </is>
      </c>
      <c r="C21" s="26" t="inlineStr">
        <is>
          <t>3</t>
        </is>
      </c>
      <c r="D21" s="38" t="inlineStr">
        <is>
          <t>Observe USB power meter or current probe on device VCC</t>
        </is>
      </c>
      <c r="E21" s="25" t="inlineStr">
        <is>
          <t>Power meter</t>
        </is>
      </c>
      <c r="F21" s="25" t="inlineStr">
        <is>
          <t>Current mA reading during vs baseline</t>
        </is>
      </c>
      <c r="G21" s="40" t="inlineStr">
        <is>
          <t>≥15% increase = energy depletion confirmed</t>
        </is>
      </c>
    </row>
    <row r="22" ht="45" customHeight="1">
      <c r="A22" s="18" t="inlineStr">
        <is>
          <t>TC-12</t>
        </is>
      </c>
      <c r="B22" s="19" t="inlineStr">
        <is>
          <t>Craft</t>
        </is>
      </c>
      <c r="C22" s="21" t="inlineStr">
        <is>
          <t>1</t>
        </is>
      </c>
      <c r="D22" s="38" t="inlineStr">
        <is>
          <t>Craft NWK frame: aux header frame_counter=0xFFFFFFFE</t>
        </is>
      </c>
      <c r="E22" s="20" t="inlineStr">
        <is>
          <t>Scapy</t>
        </is>
      </c>
      <c r="F22" s="20" t="inlineStr">
        <is>
          <t>High-counter frame ready</t>
        </is>
      </c>
      <c r="G22" s="39" t="inlineStr">
        <is>
          <t>Any lower counter from legit device will be dropped</t>
        </is>
      </c>
    </row>
    <row r="23" ht="45" customHeight="1">
      <c r="A23" s="18" t="inlineStr">
        <is>
          <t>TC-12</t>
        </is>
      </c>
      <c r="B23" s="24" t="inlineStr">
        <is>
          <t>Inject</t>
        </is>
      </c>
      <c r="C23" s="26" t="inlineStr">
        <is>
          <t>2</t>
        </is>
      </c>
      <c r="D23" s="38" t="inlineStr">
        <is>
          <t>sendp(frame, iface='wpan0')</t>
        </is>
      </c>
      <c r="E23" s="25" t="inlineStr">
        <is>
          <t>Scapy</t>
        </is>
      </c>
      <c r="F23" s="25" t="inlineStr">
        <is>
          <t>Frame transmitted</t>
        </is>
      </c>
      <c r="G23" s="40" t="inlineStr">
        <is>
          <t>Check Wireshark for target ACK of frame</t>
        </is>
      </c>
    </row>
    <row r="24" ht="45" customHeight="1">
      <c r="A24" s="18" t="inlineStr">
        <is>
          <t>TC-12</t>
        </is>
      </c>
      <c r="B24" s="19" t="inlineStr">
        <is>
          <t>Verify</t>
        </is>
      </c>
      <c r="C24" s="21" t="inlineStr">
        <is>
          <t>3</t>
        </is>
      </c>
      <c r="D24" s="38" t="inlineStr">
        <is>
          <t>Send legitimate frames with normal counter; observe drop</t>
        </is>
      </c>
      <c r="E24" s="20" t="inlineStr">
        <is>
          <t>Wireshark</t>
        </is>
      </c>
      <c r="F24" s="20" t="inlineStr">
        <is>
          <t>Legitimate frames no longer processed</t>
        </is>
      </c>
      <c r="G24" s="39" t="inlineStr">
        <is>
          <t>Target counter exhausted — full DoS achieved</t>
        </is>
      </c>
    </row>
    <row r="25" ht="45" customHeight="1">
      <c r="A25" s="18" t="inlineStr">
        <is>
          <t>TC-15</t>
        </is>
      </c>
      <c r="B25" s="24" t="inlineStr">
        <is>
          <t>Rogue Coord</t>
        </is>
      </c>
      <c r="C25" s="26" t="inlineStr">
        <is>
          <t>1</t>
        </is>
      </c>
      <c r="D25" s="38" t="inlineStr">
        <is>
          <t>evil_twin --channel 15 --pan_id 0x1A2B</t>
        </is>
      </c>
      <c r="E25" s="25" t="inlineStr">
        <is>
          <t>ZigDiggity</t>
        </is>
      </c>
      <c r="F25" s="25" t="inlineStr">
        <is>
          <t>Rogue coordinator broadcasting beacons</t>
        </is>
      </c>
      <c r="G25" s="40" t="inlineStr">
        <is>
          <t>Must respond faster than legitimate coordinator</t>
        </is>
      </c>
    </row>
    <row r="26" ht="45" customHeight="1">
      <c r="A26" s="18" t="inlineStr">
        <is>
          <t>TC-15</t>
        </is>
      </c>
      <c r="B26" s="19" t="inlineStr">
        <is>
          <t>Monitor</t>
        </is>
      </c>
      <c r="C26" s="21" t="inlineStr">
        <is>
          <t>2</t>
        </is>
      </c>
      <c r="D26" s="38" t="inlineStr">
        <is>
          <t>show_joined_devices</t>
        </is>
      </c>
      <c r="E26" s="20" t="inlineStr">
        <is>
          <t>ZigDiggity</t>
        </is>
      </c>
      <c r="F26" s="20" t="inlineStr">
        <is>
          <t>Table of devices that joined rogue network</t>
        </is>
      </c>
      <c r="G26" s="39" t="inlineStr">
        <is>
          <t>Rogue NWK key used for all their traffic</t>
        </is>
      </c>
    </row>
    <row r="27" ht="45" customHeight="1">
      <c r="A27" s="18" t="inlineStr">
        <is>
          <t>TC-15</t>
        </is>
      </c>
      <c r="B27" s="24" t="inlineStr">
        <is>
          <t>Decrypt</t>
        </is>
      </c>
      <c r="C27" s="26" t="inlineStr">
        <is>
          <t>3</t>
        </is>
      </c>
      <c r="D27" s="38" t="inlineStr">
        <is>
          <t>Set rogue NWK key in Wireshark; decrypt captured traffic</t>
        </is>
      </c>
      <c r="E27" s="25" t="inlineStr">
        <is>
          <t>Wireshark</t>
        </is>
      </c>
      <c r="F27" s="25" t="inlineStr">
        <is>
          <t>Plaintext application layer payloads</t>
        </is>
      </c>
      <c r="G27" s="40" t="inlineStr">
        <is>
          <t>Full man-in-the-middle achieved</t>
        </is>
      </c>
    </row>
    <row r="28" ht="45" customHeight="1">
      <c r="A28" s="18" t="inlineStr">
        <is>
          <t>TC-20</t>
        </is>
      </c>
      <c r="B28" s="19" t="inlineStr">
        <is>
          <t>Identify</t>
        </is>
      </c>
      <c r="C28" s="21" t="inlineStr">
        <is>
          <t>1</t>
        </is>
      </c>
      <c r="D28" s="38" t="inlineStr">
        <is>
          <t>Inspect PCB for JTAG/SWD pads; check MCU datasheet for pinout</t>
        </is>
      </c>
      <c r="E28" s="20" t="inlineStr">
        <is>
          <t>Physical</t>
        </is>
      </c>
      <c r="F28" s="20" t="inlineStr">
        <is>
          <t>TCK,TMS,TDI,TDO,TRST,GND,VCC identified</t>
        </is>
      </c>
      <c r="G28" s="39" t="inlineStr">
        <is>
          <t>Use magnifying glass / microscope</t>
        </is>
      </c>
    </row>
    <row r="29" ht="45" customHeight="1">
      <c r="A29" s="18" t="inlineStr">
        <is>
          <t>TC-20</t>
        </is>
      </c>
      <c r="B29" s="24" t="inlineStr">
        <is>
          <t>Connect</t>
        </is>
      </c>
      <c r="C29" s="26" t="inlineStr">
        <is>
          <t>2</t>
        </is>
      </c>
      <c r="D29" s="38" t="inlineStr">
        <is>
          <t>openocd -f interface/jlink.cfg -f target/stm32f4x.cfg</t>
        </is>
      </c>
      <c r="E29" s="25" t="inlineStr">
        <is>
          <t>OpenOCD</t>
        </is>
      </c>
      <c r="F29" s="25" t="inlineStr">
        <is>
          <t>'target halted' message</t>
        </is>
      </c>
      <c r="G29" s="40" t="inlineStr">
        <is>
          <t>Adapter connected and target responsive</t>
        </is>
      </c>
    </row>
    <row r="30" ht="45" customHeight="1">
      <c r="A30" s="18" t="inlineStr">
        <is>
          <t>TC-20</t>
        </is>
      </c>
      <c r="B30" s="19" t="inlineStr">
        <is>
          <t>Dump Flash</t>
        </is>
      </c>
      <c r="C30" s="21" t="inlineStr">
        <is>
          <t>3</t>
        </is>
      </c>
      <c r="D30" s="38" t="inlineStr">
        <is>
          <t>dump_image full_flash.bin 0x08000000 0x100000</t>
        </is>
      </c>
      <c r="E30" s="20" t="inlineStr">
        <is>
          <t>OpenOCD telnet</t>
        </is>
      </c>
      <c r="F30" s="20" t="inlineStr">
        <is>
          <t>full_flash.bin created</t>
        </is>
      </c>
      <c r="G30" s="39" t="inlineStr">
        <is>
          <t>If RDP active: permission denied = PASS</t>
        </is>
      </c>
    </row>
    <row r="31" ht="45" customHeight="1">
      <c r="A31" s="18" t="inlineStr">
        <is>
          <t>TC-20</t>
        </is>
      </c>
      <c r="B31" s="24" t="inlineStr">
        <is>
          <t>UART</t>
        </is>
      </c>
      <c r="C31" s="26" t="inlineStr">
        <is>
          <t>4</t>
        </is>
      </c>
      <c r="D31" s="38" t="inlineStr">
        <is>
          <t>minicom -D /dev/ttyUSB0 -b 115200 (power cycle device)</t>
        </is>
      </c>
      <c r="E31" s="25" t="inlineStr">
        <is>
          <t>minicom</t>
        </is>
      </c>
      <c r="F31" s="25" t="inlineStr">
        <is>
          <t>Boot log output</t>
        </is>
      </c>
      <c r="G31" s="40" t="inlineStr">
        <is>
          <t>Look for key hex values or debug credentials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2:K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0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28" customWidth="1" min="11" max="11"/>
  </cols>
  <sheetData>
    <row r="2" ht="40" customHeight="1">
      <c r="A2" s="37" t="inlineStr">
        <is>
          <t>ZigBee Pentest Hardware Tools — Compatibility &amp; Capability Matrix</t>
        </is>
      </c>
    </row>
    <row r="3">
      <c r="A3" s="33" t="inlineStr">
        <is>
          <t>Tool</t>
        </is>
      </c>
      <c r="B3" s="33" t="inlineStr">
        <is>
          <t>Chipset</t>
        </is>
      </c>
      <c r="C3" s="33" t="inlineStr">
        <is>
          <t>Protocol</t>
        </is>
      </c>
      <c r="D3" s="33" t="inlineStr">
        <is>
          <t>Channels</t>
        </is>
      </c>
      <c r="E3" s="33" t="inlineStr">
        <is>
          <t>Sniff</t>
        </is>
      </c>
      <c r="F3" s="33" t="inlineStr">
        <is>
          <t>Inject</t>
        </is>
      </c>
      <c r="G3" s="33" t="inlineStr">
        <is>
          <t>Jam</t>
        </is>
      </c>
      <c r="H3" s="33" t="inlineStr">
        <is>
          <t>JTAG/HW</t>
        </is>
      </c>
      <c r="I3" s="33" t="inlineStr">
        <is>
          <t>KillerBee</t>
        </is>
      </c>
      <c r="J3" s="33" t="inlineStr">
        <is>
          <t>Cost USD</t>
        </is>
      </c>
      <c r="K3" s="33" t="inlineStr">
        <is>
          <t>Source</t>
        </is>
      </c>
    </row>
    <row r="4" ht="32" customHeight="1">
      <c r="A4" s="19" t="inlineStr">
        <is>
          <t>CC2531 USB Dongle</t>
        </is>
      </c>
      <c r="B4" s="20" t="inlineStr">
        <is>
          <t>CC2531</t>
        </is>
      </c>
      <c r="C4" s="20" t="inlineStr">
        <is>
          <t>802.15.4/ZigBee</t>
        </is>
      </c>
      <c r="D4" s="21" t="inlineStr">
        <is>
          <t>11-26</t>
        </is>
      </c>
      <c r="E4" s="41" t="inlineStr">
        <is>
          <t>✅</t>
        </is>
      </c>
      <c r="F4" s="42" t="inlineStr">
        <is>
          <t>❌</t>
        </is>
      </c>
      <c r="G4" s="42" t="inlineStr">
        <is>
          <t>❌</t>
        </is>
      </c>
      <c r="H4" s="42" t="inlineStr">
        <is>
          <t>❌</t>
        </is>
      </c>
      <c r="I4" s="41" t="inlineStr">
        <is>
          <t>✅</t>
        </is>
      </c>
      <c r="J4" s="21" t="inlineStr">
        <is>
          <t>$5–15</t>
        </is>
      </c>
      <c r="K4" s="20" t="inlineStr">
        <is>
          <t>AliExpress/eBay</t>
        </is>
      </c>
    </row>
    <row r="5" ht="32" customHeight="1">
      <c r="A5" s="24" t="inlineStr">
        <is>
          <t>Apimote v4</t>
        </is>
      </c>
      <c r="B5" s="25" t="inlineStr">
        <is>
          <t>CC2420</t>
        </is>
      </c>
      <c r="C5" s="25" t="inlineStr">
        <is>
          <t>802.15.4/ZigBee</t>
        </is>
      </c>
      <c r="D5" s="26" t="inlineStr">
        <is>
          <t>11-26</t>
        </is>
      </c>
      <c r="E5" s="41" t="inlineStr">
        <is>
          <t>✅</t>
        </is>
      </c>
      <c r="F5" s="41" t="inlineStr">
        <is>
          <t>✅</t>
        </is>
      </c>
      <c r="G5" s="43" t="inlineStr">
        <is>
          <t>⚠</t>
        </is>
      </c>
      <c r="H5" s="42" t="inlineStr">
        <is>
          <t>❌</t>
        </is>
      </c>
      <c r="I5" s="41" t="inlineStr">
        <is>
          <t>✅</t>
        </is>
      </c>
      <c r="J5" s="26" t="inlineStr">
        <is>
          <t>$150–200</t>
        </is>
      </c>
      <c r="K5" s="25" t="inlineStr">
        <is>
          <t>riverloopsecurity.com</t>
        </is>
      </c>
    </row>
    <row r="6" ht="32" customHeight="1">
      <c r="A6" s="19" t="inlineStr">
        <is>
          <t>YARD Stick One</t>
        </is>
      </c>
      <c r="B6" s="20" t="inlineStr">
        <is>
          <t>CC1111</t>
        </is>
      </c>
      <c r="C6" s="20" t="inlineStr">
        <is>
          <t>Sub-GHz+2.4GHz</t>
        </is>
      </c>
      <c r="D6" s="21" t="inlineStr">
        <is>
          <t>11-26</t>
        </is>
      </c>
      <c r="E6" s="41" t="inlineStr">
        <is>
          <t>✅</t>
        </is>
      </c>
      <c r="F6" s="41" t="inlineStr">
        <is>
          <t>✅</t>
        </is>
      </c>
      <c r="G6" s="41" t="inlineStr">
        <is>
          <t>✅</t>
        </is>
      </c>
      <c r="H6" s="42" t="inlineStr">
        <is>
          <t>❌</t>
        </is>
      </c>
      <c r="I6" s="43" t="inlineStr">
        <is>
          <t>⚠</t>
        </is>
      </c>
      <c r="J6" s="21" t="inlineStr">
        <is>
          <t>$99</t>
        </is>
      </c>
      <c r="K6" s="20" t="inlineStr">
        <is>
          <t>greatscottgadgets.com</t>
        </is>
      </c>
    </row>
    <row r="7" ht="32" customHeight="1">
      <c r="A7" s="24" t="inlineStr">
        <is>
          <t>HackRF One</t>
        </is>
      </c>
      <c r="B7" s="25" t="inlineStr">
        <is>
          <t>MAX2837</t>
        </is>
      </c>
      <c r="C7" s="25" t="inlineStr">
        <is>
          <t>1MHz–6GHz SDR</t>
        </is>
      </c>
      <c r="D7" s="26" t="inlineStr">
        <is>
          <t>All</t>
        </is>
      </c>
      <c r="E7" s="41" t="inlineStr">
        <is>
          <t>✅</t>
        </is>
      </c>
      <c r="F7" s="41" t="inlineStr">
        <is>
          <t>✅</t>
        </is>
      </c>
      <c r="G7" s="41" t="inlineStr">
        <is>
          <t>✅</t>
        </is>
      </c>
      <c r="H7" s="42" t="inlineStr">
        <is>
          <t>❌</t>
        </is>
      </c>
      <c r="I7" s="42" t="inlineStr">
        <is>
          <t>❌</t>
        </is>
      </c>
      <c r="J7" s="26" t="inlineStr">
        <is>
          <t>$299–349</t>
        </is>
      </c>
      <c r="K7" s="25" t="inlineStr">
        <is>
          <t>greatscottgadgets.com</t>
        </is>
      </c>
    </row>
    <row r="8" ht="32" customHeight="1">
      <c r="A8" s="19" t="inlineStr">
        <is>
          <t>nRF52840 Dongle</t>
        </is>
      </c>
      <c r="B8" s="20" t="inlineStr">
        <is>
          <t>nRF52840</t>
        </is>
      </c>
      <c r="C8" s="20" t="inlineStr">
        <is>
          <t>802.15.4/BLE</t>
        </is>
      </c>
      <c r="D8" s="21" t="inlineStr">
        <is>
          <t>11-26</t>
        </is>
      </c>
      <c r="E8" s="41" t="inlineStr">
        <is>
          <t>✅</t>
        </is>
      </c>
      <c r="F8" s="43" t="inlineStr">
        <is>
          <t>⚠</t>
        </is>
      </c>
      <c r="G8" s="42" t="inlineStr">
        <is>
          <t>❌</t>
        </is>
      </c>
      <c r="H8" s="42" t="inlineStr">
        <is>
          <t>❌</t>
        </is>
      </c>
      <c r="I8" s="42" t="inlineStr">
        <is>
          <t>❌</t>
        </is>
      </c>
      <c r="J8" s="21" t="inlineStr">
        <is>
          <t>$10</t>
        </is>
      </c>
      <c r="K8" s="20" t="inlineStr">
        <is>
          <t>nordicsemi.com</t>
        </is>
      </c>
    </row>
    <row r="9" ht="32" customHeight="1">
      <c r="A9" s="24" t="inlineStr">
        <is>
          <t>Ubertooth One</t>
        </is>
      </c>
      <c r="B9" s="25" t="inlineStr">
        <is>
          <t>CC2400</t>
        </is>
      </c>
      <c r="C9" s="25" t="inlineStr">
        <is>
          <t>BT/802.15.4</t>
        </is>
      </c>
      <c r="D9" s="26" t="inlineStr">
        <is>
          <t>11-26</t>
        </is>
      </c>
      <c r="E9" s="41" t="inlineStr">
        <is>
          <t>✅</t>
        </is>
      </c>
      <c r="F9" s="43" t="inlineStr">
        <is>
          <t>⚠</t>
        </is>
      </c>
      <c r="G9" s="42" t="inlineStr">
        <is>
          <t>❌</t>
        </is>
      </c>
      <c r="H9" s="42" t="inlineStr">
        <is>
          <t>❌</t>
        </is>
      </c>
      <c r="I9" s="43" t="inlineStr">
        <is>
          <t>⚠</t>
        </is>
      </c>
      <c r="J9" s="26" t="inlineStr">
        <is>
          <t>$119</t>
        </is>
      </c>
      <c r="K9" s="25" t="inlineStr">
        <is>
          <t>greatscottgadgets.com</t>
        </is>
      </c>
    </row>
    <row r="10" ht="32" customHeight="1">
      <c r="A10" s="19" t="inlineStr">
        <is>
          <t>ESP32-H2 Dev Board</t>
        </is>
      </c>
      <c r="B10" s="20" t="inlineStr">
        <is>
          <t>ESP32-H2</t>
        </is>
      </c>
      <c r="C10" s="20" t="inlineStr">
        <is>
          <t>ZigBee/Thread</t>
        </is>
      </c>
      <c r="D10" s="21" t="inlineStr">
        <is>
          <t>11-26</t>
        </is>
      </c>
      <c r="E10" s="41" t="inlineStr">
        <is>
          <t>✅</t>
        </is>
      </c>
      <c r="F10" s="41" t="inlineStr">
        <is>
          <t>✅</t>
        </is>
      </c>
      <c r="G10" s="42" t="inlineStr">
        <is>
          <t>❌</t>
        </is>
      </c>
      <c r="H10" s="42" t="inlineStr">
        <is>
          <t>❌</t>
        </is>
      </c>
      <c r="I10" s="42" t="inlineStr">
        <is>
          <t>❌</t>
        </is>
      </c>
      <c r="J10" s="21" t="inlineStr">
        <is>
          <t>$5–10</t>
        </is>
      </c>
      <c r="K10" s="20" t="inlineStr">
        <is>
          <t>espressif.com / Adafruit</t>
        </is>
      </c>
    </row>
    <row r="11" ht="32" customHeight="1">
      <c r="A11" s="24" t="inlineStr">
        <is>
          <t>JLink EDU Mini</t>
        </is>
      </c>
      <c r="B11" s="25" t="inlineStr">
        <is>
          <t>ARM Cortex</t>
        </is>
      </c>
      <c r="C11" s="25" t="inlineStr">
        <is>
          <t>JTAG/SWD</t>
        </is>
      </c>
      <c r="D11" s="26" t="inlineStr">
        <is>
          <t>N/A</t>
        </is>
      </c>
      <c r="E11" s="42" t="inlineStr">
        <is>
          <t>❌</t>
        </is>
      </c>
      <c r="F11" s="42" t="inlineStr">
        <is>
          <t>❌</t>
        </is>
      </c>
      <c r="G11" s="42" t="inlineStr">
        <is>
          <t>❌</t>
        </is>
      </c>
      <c r="H11" s="41" t="inlineStr">
        <is>
          <t>✅</t>
        </is>
      </c>
      <c r="I11" s="42" t="inlineStr">
        <is>
          <t>❌</t>
        </is>
      </c>
      <c r="J11" s="26" t="inlineStr">
        <is>
          <t>$18</t>
        </is>
      </c>
      <c r="K11" s="25" t="inlineStr">
        <is>
          <t>segger.com</t>
        </is>
      </c>
    </row>
    <row r="12" ht="32" customHeight="1">
      <c r="A12" s="19" t="inlineStr">
        <is>
          <t>Bus Pirate v4</t>
        </is>
      </c>
      <c r="B12" s="20" t="inlineStr">
        <is>
          <t>PIC24FJ256</t>
        </is>
      </c>
      <c r="C12" s="20" t="inlineStr">
        <is>
          <t>UART/SPI/I2C</t>
        </is>
      </c>
      <c r="D12" s="21" t="inlineStr">
        <is>
          <t>N/A</t>
        </is>
      </c>
      <c r="E12" s="42" t="inlineStr">
        <is>
          <t>❌</t>
        </is>
      </c>
      <c r="F12" s="42" t="inlineStr">
        <is>
          <t>❌</t>
        </is>
      </c>
      <c r="G12" s="42" t="inlineStr">
        <is>
          <t>❌</t>
        </is>
      </c>
      <c r="H12" s="41" t="inlineStr">
        <is>
          <t>✅</t>
        </is>
      </c>
      <c r="I12" s="42" t="inlineStr">
        <is>
          <t>❌</t>
        </is>
      </c>
      <c r="J12" s="21" t="inlineStr">
        <is>
          <t>$30</t>
        </is>
      </c>
      <c r="K12" s="20" t="inlineStr">
        <is>
          <t>sparkfun.com</t>
        </is>
      </c>
    </row>
    <row r="13" ht="32" customHeight="1">
      <c r="A13" s="24" t="inlineStr">
        <is>
          <t>Saleae Logic 8</t>
        </is>
      </c>
      <c r="B13" s="25" t="inlineStr">
        <is>
          <t>FX2LP</t>
        </is>
      </c>
      <c r="C13" s="25" t="inlineStr">
        <is>
          <t>Protocol Decode</t>
        </is>
      </c>
      <c r="D13" s="26" t="inlineStr">
        <is>
          <t>N/A</t>
        </is>
      </c>
      <c r="E13" s="42" t="inlineStr">
        <is>
          <t>❌</t>
        </is>
      </c>
      <c r="F13" s="42" t="inlineStr">
        <is>
          <t>❌</t>
        </is>
      </c>
      <c r="G13" s="42" t="inlineStr">
        <is>
          <t>❌</t>
        </is>
      </c>
      <c r="H13" s="41" t="inlineStr">
        <is>
          <t>✅</t>
        </is>
      </c>
      <c r="I13" s="42" t="inlineStr">
        <is>
          <t>❌</t>
        </is>
      </c>
      <c r="J13" s="26" t="inlineStr">
        <is>
          <t>$399</t>
        </is>
      </c>
      <c r="K13" s="25" t="inlineStr">
        <is>
          <t>saleae.com</t>
        </is>
      </c>
    </row>
    <row r="14" ht="32" customHeight="1">
      <c r="A14" s="19" t="inlineStr">
        <is>
          <t>TL866II+ Programmer</t>
        </is>
      </c>
      <c r="B14" s="20" t="inlineStr">
        <is>
          <t>Custom</t>
        </is>
      </c>
      <c r="C14" s="20" t="inlineStr">
        <is>
          <t>Flash Read/Write</t>
        </is>
      </c>
      <c r="D14" s="21" t="inlineStr">
        <is>
          <t>N/A</t>
        </is>
      </c>
      <c r="E14" s="42" t="inlineStr">
        <is>
          <t>❌</t>
        </is>
      </c>
      <c r="F14" s="42" t="inlineStr">
        <is>
          <t>❌</t>
        </is>
      </c>
      <c r="G14" s="42" t="inlineStr">
        <is>
          <t>❌</t>
        </is>
      </c>
      <c r="H14" s="41" t="inlineStr">
        <is>
          <t>✅</t>
        </is>
      </c>
      <c r="I14" s="42" t="inlineStr">
        <is>
          <t>❌</t>
        </is>
      </c>
      <c r="J14" s="21" t="inlineStr">
        <is>
          <t>$60</t>
        </is>
      </c>
      <c r="K14" s="20" t="inlineStr">
        <is>
          <t>AliExpress/Amazon</t>
        </is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62828"/>
    <outlinePr summaryBelow="1" summaryRight="1"/>
    <pageSetUpPr/>
  </sheetPr>
  <dimension ref="A2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0" customWidth="1" min="3" max="3"/>
    <col width="10" customWidth="1" min="4" max="4"/>
    <col width="32" customWidth="1" min="5" max="5"/>
    <col width="10" customWidth="1" min="6" max="6"/>
    <col width="14" customWidth="1" min="7" max="7"/>
    <col width="42" customWidth="1" min="8" max="8"/>
    <col width="14" customWidth="1" min="9" max="9"/>
    <col width="10" customWidth="1" min="10" max="10"/>
  </cols>
  <sheetData>
    <row r="2" ht="40" customHeight="1">
      <c r="A2" s="37" t="inlineStr">
        <is>
          <t>CVSS Scoring Register &amp; Findings Tracker</t>
        </is>
      </c>
    </row>
    <row r="3">
      <c r="A3" s="33" t="inlineStr">
        <is>
          <t>TC ID</t>
        </is>
      </c>
      <c r="B3" s="33" t="inlineStr">
        <is>
          <t>Finding Title</t>
        </is>
      </c>
      <c r="C3" s="33" t="inlineStr">
        <is>
          <t>Severity</t>
        </is>
      </c>
      <c r="D3" s="33" t="inlineStr">
        <is>
          <t>CVSS Score</t>
        </is>
      </c>
      <c r="E3" s="33" t="inlineStr">
        <is>
          <t>CVSS Vector</t>
        </is>
      </c>
      <c r="F3" s="33" t="inlineStr">
        <is>
          <t>Status</t>
        </is>
      </c>
      <c r="G3" s="33" t="inlineStr">
        <is>
          <t>Risk Owner</t>
        </is>
      </c>
      <c r="H3" s="33" t="inlineStr">
        <is>
          <t>Remediation</t>
        </is>
      </c>
      <c r="I3" s="33" t="inlineStr">
        <is>
          <t>Target Fix Date</t>
        </is>
      </c>
      <c r="J3" s="33" t="inlineStr">
        <is>
          <t>Verified</t>
        </is>
      </c>
    </row>
    <row r="4" ht="50" customHeight="1">
      <c r="A4" s="18" t="inlineStr">
        <is>
          <t>TC-02</t>
        </is>
      </c>
      <c r="B4" s="19" t="inlineStr">
        <is>
          <t>Default Link Key ZigBeeAlliance09 Active</t>
        </is>
      </c>
      <c r="C4" s="27" t="inlineStr">
        <is>
          <t>Critical</t>
        </is>
      </c>
      <c r="D4" s="34" t="n">
        <v>9.800000000000001</v>
      </c>
      <c r="E4" s="21" t="inlineStr">
        <is>
          <t>AV:N/AC:L/PR:N/UI:N/S:U/C:H/I:H/A:H</t>
        </is>
      </c>
      <c r="F4" s="35" t="inlineStr">
        <is>
          <t>Open</t>
        </is>
      </c>
      <c r="G4" s="21" t="inlineStr"/>
      <c r="H4" s="20" t="inlineStr">
        <is>
          <t>Replace with install-code derived unique keys</t>
        </is>
      </c>
      <c r="I4" s="21" t="inlineStr"/>
      <c r="J4" s="44" t="inlineStr">
        <is>
          <t>No</t>
        </is>
      </c>
    </row>
    <row r="5" ht="50" customHeight="1">
      <c r="A5" s="18" t="inlineStr">
        <is>
          <t>TC-15</t>
        </is>
      </c>
      <c r="B5" s="24" t="inlineStr">
        <is>
          <t>Trust Center Impersonation — No Mutual Auth</t>
        </is>
      </c>
      <c r="C5" s="27" t="inlineStr">
        <is>
          <t>Critical</t>
        </is>
      </c>
      <c r="D5" s="36" t="n">
        <v>9</v>
      </c>
      <c r="E5" s="26" t="inlineStr">
        <is>
          <t>AV:A/AC:H/PR:N/UI:N/S:C/C:H/I:H/A:N</t>
        </is>
      </c>
      <c r="F5" s="35" t="inlineStr">
        <is>
          <t>Open</t>
        </is>
      </c>
      <c r="G5" s="26" t="inlineStr"/>
      <c r="H5" s="25" t="inlineStr">
        <is>
          <t>Implement certificate-based TC authentication</t>
        </is>
      </c>
      <c r="I5" s="26" t="inlineStr"/>
      <c r="J5" s="44" t="inlineStr">
        <is>
          <t>No</t>
        </is>
      </c>
    </row>
    <row r="6" ht="50" customHeight="1">
      <c r="A6" s="18" t="inlineStr">
        <is>
          <t>TC-13</t>
        </is>
      </c>
      <c r="B6" s="19" t="inlineStr">
        <is>
          <t>Rogue Device Joins Distributed Security Network</t>
        </is>
      </c>
      <c r="C6" s="29" t="inlineStr">
        <is>
          <t>High</t>
        </is>
      </c>
      <c r="D6" s="34" t="n">
        <v>8.800000000000001</v>
      </c>
      <c r="E6" s="21" t="inlineStr">
        <is>
          <t>AV:A/AC:L/PR:N/UI:N/S:U/C:H/I:H/A:N</t>
        </is>
      </c>
      <c r="F6" s="35" t="inlineStr">
        <is>
          <t>Open</t>
        </is>
      </c>
      <c r="G6" s="21" t="inlineStr"/>
      <c r="H6" s="20" t="inlineStr">
        <is>
          <t>Migrate to centralized security; install codes</t>
        </is>
      </c>
      <c r="I6" s="21" t="inlineStr"/>
      <c r="J6" s="44" t="inlineStr">
        <is>
          <t>No</t>
        </is>
      </c>
    </row>
    <row r="7" ht="50" customHeight="1">
      <c r="A7" s="18" t="inlineStr">
        <is>
          <t>TC-19</t>
        </is>
      </c>
      <c r="B7" s="24" t="inlineStr">
        <is>
          <t>Distributed Mode — Single Key Full Network Exposure</t>
        </is>
      </c>
      <c r="C7" s="29" t="inlineStr">
        <is>
          <t>High</t>
        </is>
      </c>
      <c r="D7" s="36" t="n">
        <v>8.800000000000001</v>
      </c>
      <c r="E7" s="26" t="inlineStr">
        <is>
          <t>AV:A/AC:L/PR:N/UI:N/S:U/C:H/I:H/A:N</t>
        </is>
      </c>
      <c r="F7" s="35" t="inlineStr">
        <is>
          <t>Open</t>
        </is>
      </c>
      <c r="G7" s="26" t="inlineStr"/>
      <c r="H7" s="25" t="inlineStr">
        <is>
          <t>Use centralized TC; add app-layer encryption</t>
        </is>
      </c>
      <c r="I7" s="26" t="inlineStr"/>
      <c r="J7" s="44" t="inlineStr">
        <is>
          <t>No</t>
        </is>
      </c>
    </row>
    <row r="8" ht="50" customHeight="1">
      <c r="A8" s="18" t="inlineStr">
        <is>
          <t>TC-03</t>
        </is>
      </c>
      <c r="B8" s="19" t="inlineStr">
        <is>
          <t>Network Key Transmitted in Cleartext OTA</t>
        </is>
      </c>
      <c r="C8" s="29" t="inlineStr">
        <is>
          <t>High</t>
        </is>
      </c>
      <c r="D8" s="34" t="n">
        <v>8.1</v>
      </c>
      <c r="E8" s="21" t="inlineStr">
        <is>
          <t>AV:A/AC:H/PR:N/UI:N/S:U/C:H/I:H/A:N</t>
        </is>
      </c>
      <c r="F8" s="35" t="inlineStr">
        <is>
          <t>Open</t>
        </is>
      </c>
      <c r="G8" s="21" t="inlineStr"/>
      <c r="H8" s="20" t="inlineStr">
        <is>
          <t>Pre-install unique link keys before deployment</t>
        </is>
      </c>
      <c r="I8" s="21" t="inlineStr"/>
      <c r="J8" s="44" t="inlineStr">
        <is>
          <t>No</t>
        </is>
      </c>
    </row>
    <row r="9" ht="50" customHeight="1">
      <c r="A9" s="18" t="inlineStr">
        <is>
          <t>TC-14</t>
        </is>
      </c>
      <c r="B9" s="24" t="inlineStr">
        <is>
          <t>Link Key Re-use Enables Device Cloning</t>
        </is>
      </c>
      <c r="C9" s="29" t="inlineStr">
        <is>
          <t>High</t>
        </is>
      </c>
      <c r="D9" s="36" t="n">
        <v>8.1</v>
      </c>
      <c r="E9" s="26" t="inlineStr">
        <is>
          <t>AV:A/AC:H/PR:N/UI:N/S:U/C:H/I:H/A:N</t>
        </is>
      </c>
      <c r="F9" s="35" t="inlineStr">
        <is>
          <t>Open</t>
        </is>
      </c>
      <c r="G9" s="26" t="inlineStr"/>
      <c r="H9" s="25" t="inlineStr">
        <is>
          <t>Rotate link keys after every rejoin event</t>
        </is>
      </c>
      <c r="I9" s="26" t="inlineStr"/>
      <c r="J9" s="44" t="inlineStr">
        <is>
          <t>No</t>
        </is>
      </c>
    </row>
    <row r="10" ht="50" customHeight="1">
      <c r="A10" s="18" t="inlineStr">
        <is>
          <t>TC-16</t>
        </is>
      </c>
      <c r="B10" s="19" t="inlineStr">
        <is>
          <t>Unencrypted Link Key on First Join</t>
        </is>
      </c>
      <c r="C10" s="29" t="inlineStr">
        <is>
          <t>High</t>
        </is>
      </c>
      <c r="D10" s="34" t="n">
        <v>8.1</v>
      </c>
      <c r="E10" s="21" t="inlineStr">
        <is>
          <t>AV:A/AC:H/PR:N/UI:N/S:U/C:H/I:H/A:N</t>
        </is>
      </c>
      <c r="F10" s="35" t="inlineStr">
        <is>
          <t>Open</t>
        </is>
      </c>
      <c r="G10" s="21" t="inlineStr"/>
      <c r="H10" s="20" t="inlineStr">
        <is>
          <t>Enforce APS encryption on all key transport</t>
        </is>
      </c>
      <c r="I10" s="21" t="inlineStr"/>
      <c r="J10" s="44" t="inlineStr">
        <is>
          <t>No</t>
        </is>
      </c>
    </row>
    <row r="11" ht="50" customHeight="1">
      <c r="A11" s="18" t="inlineStr">
        <is>
          <t>TC-04</t>
        </is>
      </c>
      <c r="B11" s="24" t="inlineStr">
        <is>
          <t>Network Key Found in Firmware Flash (Plaintext)</t>
        </is>
      </c>
      <c r="C11" s="29" t="inlineStr">
        <is>
          <t>High</t>
        </is>
      </c>
      <c r="D11" s="36" t="n">
        <v>7.5</v>
      </c>
      <c r="E11" s="26" t="inlineStr">
        <is>
          <t>AV:N/AC:H/PR:N/UI:N/S:U/C:H/I:H/A:N</t>
        </is>
      </c>
      <c r="F11" s="35" t="inlineStr">
        <is>
          <t>Open</t>
        </is>
      </c>
      <c r="G11" s="26" t="inlineStr"/>
      <c r="H11" s="25" t="inlineStr">
        <is>
          <t>Use hardware secure storage; enable flash RDP L2</t>
        </is>
      </c>
      <c r="I11" s="26" t="inlineStr"/>
      <c r="J11" s="44" t="inlineStr">
        <is>
          <t>No</t>
        </is>
      </c>
    </row>
    <row r="12" ht="50" customHeight="1">
      <c r="A12" s="18" t="inlineStr">
        <is>
          <t>TC-05</t>
        </is>
      </c>
      <c r="B12" s="19" t="inlineStr">
        <is>
          <t>Flash Read-Back Protection Not Enabled</t>
        </is>
      </c>
      <c r="C12" s="29" t="inlineStr">
        <is>
          <t>High</t>
        </is>
      </c>
      <c r="D12" s="34" t="n">
        <v>7.5</v>
      </c>
      <c r="E12" s="21" t="inlineStr">
        <is>
          <t>AV:P/AC:L/PR:N/UI:N/S:U/C:H/I:H/A:N</t>
        </is>
      </c>
      <c r="F12" s="35" t="inlineStr">
        <is>
          <t>Open</t>
        </is>
      </c>
      <c r="G12" s="21" t="inlineStr"/>
      <c r="H12" s="20" t="inlineStr">
        <is>
          <t>Enable RDP Level 2; remove debug headers from PCB</t>
        </is>
      </c>
      <c r="I12" s="21" t="inlineStr"/>
      <c r="J12" s="44" t="inlineStr">
        <is>
          <t>No</t>
        </is>
      </c>
    </row>
    <row r="13" ht="50" customHeight="1">
      <c r="A13" s="18" t="inlineStr">
        <is>
          <t>TC-06</t>
        </is>
      </c>
      <c r="B13" s="24" t="inlineStr">
        <is>
          <t>Radio Jamming Disrupts Network (No Frequency Agility)</t>
        </is>
      </c>
      <c r="C13" s="29" t="inlineStr">
        <is>
          <t>High</t>
        </is>
      </c>
      <c r="D13" s="36" t="n">
        <v>7.5</v>
      </c>
      <c r="E13" s="26" t="inlineStr">
        <is>
          <t>AV:A/AC:L/PR:N/UI:N/S:U/C:N/I:N/A:H</t>
        </is>
      </c>
      <c r="F13" s="35" t="inlineStr">
        <is>
          <t>Open</t>
        </is>
      </c>
      <c r="G13" s="26" t="inlineStr"/>
      <c r="H13" s="25" t="inlineStr">
        <is>
          <t>Implement channel agility; RF intrusion detection</t>
        </is>
      </c>
      <c r="I13" s="26" t="inlineStr"/>
      <c r="J13" s="44" t="inlineStr">
        <is>
          <t>No</t>
        </is>
      </c>
    </row>
    <row r="14" ht="50" customHeight="1">
      <c r="A14" s="18" t="inlineStr">
        <is>
          <t>TC-07</t>
        </is>
      </c>
      <c r="B14" s="19" t="inlineStr">
        <is>
          <t>MAC-Layer Flood Achieves Network DoS</t>
        </is>
      </c>
      <c r="C14" s="29" t="inlineStr">
        <is>
          <t>High</t>
        </is>
      </c>
      <c r="D14" s="34" t="n">
        <v>7.5</v>
      </c>
      <c r="E14" s="21" t="inlineStr">
        <is>
          <t>AV:A/AC:L/PR:N/UI:N/S:U/C:N/I:N/A:H</t>
        </is>
      </c>
      <c r="F14" s="35" t="inlineStr">
        <is>
          <t>Open</t>
        </is>
      </c>
      <c r="G14" s="21" t="inlineStr"/>
      <c r="H14" s="20" t="inlineStr">
        <is>
          <t>Implement MAC rate limiting; whitelist devices</t>
        </is>
      </c>
      <c r="I14" s="21" t="inlineStr"/>
      <c r="J14" s="44" t="inlineStr">
        <is>
          <t>No</t>
        </is>
      </c>
    </row>
    <row r="15" ht="50" customHeight="1">
      <c r="A15" s="18" t="inlineStr">
        <is>
          <t>TC-12</t>
        </is>
      </c>
      <c r="B15" s="24" t="inlineStr">
        <is>
          <t>Frame Counter Manipulation Causes Replay DoS</t>
        </is>
      </c>
      <c r="C15" s="29" t="inlineStr">
        <is>
          <t>High</t>
        </is>
      </c>
      <c r="D15" s="36" t="n">
        <v>7.4</v>
      </c>
      <c r="E15" s="26" t="inlineStr">
        <is>
          <t>AV:A/AC:H/PR:N/UI:N/S:U/C:N/I:H/A:H</t>
        </is>
      </c>
      <c r="F15" s="35" t="inlineStr">
        <is>
          <t>Open</t>
        </is>
      </c>
      <c r="G15" s="26" t="inlineStr"/>
      <c r="H15" s="25" t="inlineStr">
        <is>
          <t>Validate counter increments; reject large jumps</t>
        </is>
      </c>
      <c r="I15" s="26" t="inlineStr"/>
      <c r="J15" s="44" t="inlineStr">
        <is>
          <t>No</t>
        </is>
      </c>
    </row>
    <row r="16" ht="50" customHeight="1">
      <c r="A16" s="18" t="inlineStr">
        <is>
          <t>TC-17</t>
        </is>
      </c>
      <c r="B16" s="19" t="inlineStr">
        <is>
          <t>Security Level Downgrade Accepted by Target</t>
        </is>
      </c>
      <c r="C16" s="29" t="inlineStr">
        <is>
          <t>High</t>
        </is>
      </c>
      <c r="D16" s="34" t="n">
        <v>7.4</v>
      </c>
      <c r="E16" s="21" t="inlineStr">
        <is>
          <t>AV:A/AC:H/PR:N/UI:N/S:U/C:L/I:H/A:N</t>
        </is>
      </c>
      <c r="F16" s="35" t="inlineStr">
        <is>
          <t>Open</t>
        </is>
      </c>
      <c r="G16" s="21" t="inlineStr"/>
      <c r="H16" s="20" t="inlineStr">
        <is>
          <t>Enforce minimum security level 0x05 in policy</t>
        </is>
      </c>
      <c r="I16" s="21" t="inlineStr"/>
      <c r="J16" s="44" t="inlineStr">
        <is>
          <t>No</t>
        </is>
      </c>
    </row>
    <row r="17" ht="50" customHeight="1">
      <c r="A17" s="18" t="inlineStr">
        <is>
          <t>TC-20</t>
        </is>
      </c>
      <c r="B17" s="24" t="inlineStr">
        <is>
          <t>JTAG Port Active on Production Device</t>
        </is>
      </c>
      <c r="C17" s="22" t="inlineStr">
        <is>
          <t>Medium</t>
        </is>
      </c>
      <c r="D17" s="36" t="n">
        <v>6.8</v>
      </c>
      <c r="E17" s="26" t="inlineStr">
        <is>
          <t>AV:P/AC:L/PR:N/UI:N/S:U/C:H/I:H/A:H</t>
        </is>
      </c>
      <c r="F17" s="35" t="inlineStr">
        <is>
          <t>Open</t>
        </is>
      </c>
      <c r="G17" s="26" t="inlineStr"/>
      <c r="H17" s="25" t="inlineStr">
        <is>
          <t>Disable debug interface; secure boot; fuse OTP</t>
        </is>
      </c>
      <c r="I17" s="26" t="inlineStr"/>
      <c r="J17" s="44" t="inlineStr">
        <is>
          <t>No</t>
        </is>
      </c>
    </row>
    <row r="18" ht="50" customHeight="1">
      <c r="A18" s="18" t="inlineStr">
        <is>
          <t>TC-10</t>
        </is>
      </c>
      <c r="B18" s="19" t="inlineStr">
        <is>
          <t>ACK Spoofing Causes Silent Data Loss</t>
        </is>
      </c>
      <c r="C18" s="22" t="inlineStr">
        <is>
          <t>Medium</t>
        </is>
      </c>
      <c r="D18" s="34" t="n">
        <v>6.5</v>
      </c>
      <c r="E18" s="21" t="inlineStr">
        <is>
          <t>AV:A/AC:H/PR:N/UI:N/S:U/C:N/I:H/A:H</t>
        </is>
      </c>
      <c r="F18" s="35" t="inlineStr">
        <is>
          <t>Open</t>
        </is>
      </c>
      <c r="G18" s="21" t="inlineStr"/>
      <c r="H18" s="20" t="inlineStr">
        <is>
          <t>Enable Enhanced ACK with security headers</t>
        </is>
      </c>
      <c r="I18" s="21" t="inlineStr"/>
      <c r="J18" s="44" t="inlineStr">
        <is>
          <t>No</t>
        </is>
      </c>
    </row>
    <row r="19" ht="50" customHeight="1">
      <c r="A19" s="18" t="inlineStr">
        <is>
          <t>TC-08</t>
        </is>
      </c>
      <c r="B19" s="24" t="inlineStr">
        <is>
          <t>Battery Depletion via Invalid Security Headers</t>
        </is>
      </c>
      <c r="C19" s="22" t="inlineStr">
        <is>
          <t>Medium</t>
        </is>
      </c>
      <c r="D19" s="36" t="n">
        <v>6.5</v>
      </c>
      <c r="E19" s="26" t="inlineStr">
        <is>
          <t>AV:A/AC:L/PR:N/UI:N/S:U/C:N/I:N/A:H</t>
        </is>
      </c>
      <c r="F19" s="35" t="inlineStr">
        <is>
          <t>Open</t>
        </is>
      </c>
      <c r="G19" s="26" t="inlineStr"/>
      <c r="H19" s="25" t="inlineStr">
        <is>
          <t>Rate-limit security validation per frame interval</t>
        </is>
      </c>
      <c r="I19" s="26" t="inlineStr"/>
      <c r="J19" s="44" t="inlineStr">
        <is>
          <t>No</t>
        </is>
      </c>
    </row>
    <row r="20" ht="50" customHeight="1">
      <c r="A20" s="18" t="inlineStr">
        <is>
          <t>TC-09</t>
        </is>
      </c>
      <c r="B20" s="19" t="inlineStr">
        <is>
          <t>Battery Depletion via Polling Rate Flood</t>
        </is>
      </c>
      <c r="C20" s="22" t="inlineStr">
        <is>
          <t>Medium</t>
        </is>
      </c>
      <c r="D20" s="34" t="n">
        <v>6.5</v>
      </c>
      <c r="E20" s="21" t="inlineStr">
        <is>
          <t>AV:A/AC:L/PR:N/UI:N/S:U/C:N/I:N/A:H</t>
        </is>
      </c>
      <c r="F20" s="35" t="inlineStr">
        <is>
          <t>Open</t>
        </is>
      </c>
      <c r="G20" s="21" t="inlineStr"/>
      <c r="H20" s="20" t="inlineStr">
        <is>
          <t>Accept data requests only from whitelisted devices</t>
        </is>
      </c>
      <c r="I20" s="21" t="inlineStr"/>
      <c r="J20" s="44" t="inlineStr">
        <is>
          <t>No</t>
        </is>
      </c>
    </row>
    <row r="21" ht="50" customHeight="1">
      <c r="A21" s="18" t="inlineStr">
        <is>
          <t>TC-11</t>
        </is>
      </c>
      <c r="B21" s="24" t="inlineStr">
        <is>
          <t>ACK Dropping Forces Retransmission Storm</t>
        </is>
      </c>
      <c r="C21" s="22" t="inlineStr">
        <is>
          <t>Medium</t>
        </is>
      </c>
      <c r="D21" s="36" t="n">
        <v>6.5</v>
      </c>
      <c r="E21" s="26" t="inlineStr">
        <is>
          <t>AV:A/AC:H/PR:N/UI:N/S:U/C:N/I:N/A:H</t>
        </is>
      </c>
      <c r="F21" s="35" t="inlineStr">
        <is>
          <t>Open</t>
        </is>
      </c>
      <c r="G21" s="26" t="inlineStr"/>
      <c r="H21" s="25" t="inlineStr">
        <is>
          <t>App-layer ACK with backoff; retry timeout limits</t>
        </is>
      </c>
      <c r="I21" s="26" t="inlineStr"/>
      <c r="J21" s="44" t="inlineStr">
        <is>
          <t>No</t>
        </is>
      </c>
    </row>
    <row r="22" ht="50" customHeight="1">
      <c r="A22" s="18" t="inlineStr">
        <is>
          <t>TC-18</t>
        </is>
      </c>
      <c r="B22" s="19" t="inlineStr">
        <is>
          <t>Frame Counter Reset Enables Post-Rotation Replay</t>
        </is>
      </c>
      <c r="C22" s="22" t="inlineStr">
        <is>
          <t>Medium</t>
        </is>
      </c>
      <c r="D22" s="34" t="n">
        <v>6.5</v>
      </c>
      <c r="E22" s="21" t="inlineStr">
        <is>
          <t>AV:A/AC:H/PR:N/UI:N/S:U/C:N/I:H/A:N</t>
        </is>
      </c>
      <c r="F22" s="35" t="inlineStr">
        <is>
          <t>Open</t>
        </is>
      </c>
      <c r="G22" s="21" t="inlineStr"/>
      <c r="H22" s="20" t="inlineStr">
        <is>
          <t>Persist counters across key rotations per device</t>
        </is>
      </c>
      <c r="I22" s="21" t="inlineStr"/>
      <c r="J22" s="44" t="inlineStr">
        <is>
          <t>No</t>
        </is>
      </c>
    </row>
    <row r="23" ht="50" customHeight="1">
      <c r="A23" s="18" t="inlineStr">
        <is>
          <t>TC-01</t>
        </is>
      </c>
      <c r="B23" s="24" t="inlineStr">
        <is>
          <t>Network Metadata Visible to Passive Observers</t>
        </is>
      </c>
      <c r="C23" s="22" t="inlineStr">
        <is>
          <t>Medium</t>
        </is>
      </c>
      <c r="D23" s="36" t="n">
        <v>5.3</v>
      </c>
      <c r="E23" s="26" t="inlineStr">
        <is>
          <t>AV:A/AC:L/PR:N/UI:N/S:U/C:L/I:N/A:N</t>
        </is>
      </c>
      <c r="F23" s="35" t="inlineStr">
        <is>
          <t>Open</t>
        </is>
      </c>
      <c r="G23" s="26" t="inlineStr"/>
      <c r="H23" s="25" t="inlineStr">
        <is>
          <t>Enforce ENC-MIC-128 (0x07) on all frames</t>
        </is>
      </c>
      <c r="I23" s="26" t="inlineStr"/>
      <c r="J23" s="44" t="inlineStr">
        <is>
          <t>No</t>
        </is>
      </c>
    </row>
  </sheetData>
  <mergeCells count="1">
    <mergeCell ref="A2:J2"/>
  </mergeCells>
  <conditionalFormatting sqref="D4:D23">
    <cfRule type="colorScale" priority="1">
      <colorScale>
        <cfvo type="num" val="0"/>
        <cfvo type="num" val="5"/>
        <cfvo type="num" val="10"/>
        <color rgb="0000C853"/>
        <color rgb="00FFAB00"/>
        <color rgb="00D5000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D32"/>
    <outlinePr summaryBelow="1" summaryRight="1"/>
    <pageSetUpPr/>
  </sheetPr>
  <dimension ref="A2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45" customWidth="1" min="4" max="4"/>
    <col width="22" customWidth="1" min="5" max="5"/>
    <col width="16" customWidth="1" min="6" max="6"/>
    <col width="10" customWidth="1" min="7" max="7"/>
    <col width="48" customWidth="1" min="8" max="8"/>
  </cols>
  <sheetData>
    <row r="2" ht="40" customHeight="1">
      <c r="A2" s="37" t="inlineStr">
        <is>
          <t>Remediation Tracker — ZigBee Security Findings</t>
        </is>
      </c>
    </row>
    <row r="3">
      <c r="A3" s="33" t="inlineStr">
        <is>
          <t>TC ID</t>
        </is>
      </c>
      <c r="B3" s="33" t="inlineStr">
        <is>
          <t>Finding</t>
        </is>
      </c>
      <c r="C3" s="33" t="inlineStr">
        <is>
          <t>Severity</t>
        </is>
      </c>
      <c r="D3" s="33" t="inlineStr">
        <is>
          <t>Remediation Action</t>
        </is>
      </c>
      <c r="E3" s="33" t="inlineStr">
        <is>
          <t>ZigBee Spec Reference</t>
        </is>
      </c>
      <c r="F3" s="33" t="inlineStr">
        <is>
          <t>Priority</t>
        </is>
      </c>
      <c r="G3" s="33" t="inlineStr">
        <is>
          <t>Effort</t>
        </is>
      </c>
      <c r="H3" s="33" t="inlineStr">
        <is>
          <t>Implementation Notes</t>
        </is>
      </c>
    </row>
    <row r="4" ht="55" customHeight="1">
      <c r="A4" s="18" t="inlineStr">
        <is>
          <t>TC-02</t>
        </is>
      </c>
      <c r="B4" s="19" t="inlineStr">
        <is>
          <t>Default Link Key</t>
        </is>
      </c>
      <c r="C4" s="27" t="inlineStr">
        <is>
          <t>Critical</t>
        </is>
      </c>
      <c r="D4" s="20" t="inlineStr">
        <is>
          <t>Replace ZigBeeAlliance09 with install-code derived unique key per device</t>
        </is>
      </c>
      <c r="E4" s="21" t="inlineStr">
        <is>
          <t>ZigBee 3.0 §4.6.3.1</t>
        </is>
      </c>
      <c r="F4" s="27" t="inlineStr">
        <is>
          <t>P1-Immediate</t>
        </is>
      </c>
      <c r="G4" s="29" t="inlineStr">
        <is>
          <t>High</t>
        </is>
      </c>
      <c r="H4" s="45" t="inlineStr">
        <is>
          <t>Generate 128-bit install codes per unit during manufacturing; burn to protected OTP</t>
        </is>
      </c>
    </row>
    <row r="5" ht="55" customHeight="1">
      <c r="A5" s="18" t="inlineStr">
        <is>
          <t>TC-15</t>
        </is>
      </c>
      <c r="B5" s="24" t="inlineStr">
        <is>
          <t>TC Impersonation</t>
        </is>
      </c>
      <c r="C5" s="27" t="inlineStr">
        <is>
          <t>Critical</t>
        </is>
      </c>
      <c r="D5" s="25" t="inlineStr">
        <is>
          <t>Implement mutual TC authentication using device certificates (ZigBee IP / CBKE)</t>
        </is>
      </c>
      <c r="E5" s="26" t="inlineStr">
        <is>
          <t>ZigBee §4.6.2</t>
        </is>
      </c>
      <c r="F5" s="27" t="inlineStr">
        <is>
          <t>P1-Immediate</t>
        </is>
      </c>
      <c r="G5" s="29" t="inlineStr">
        <is>
          <t>High</t>
        </is>
      </c>
      <c r="H5" s="46" t="inlineStr">
        <is>
          <t>CBKE (Certificate-Based Key Establishment) per ZigBee Smart Energy profile</t>
        </is>
      </c>
    </row>
    <row r="6" ht="55" customHeight="1">
      <c r="A6" s="18" t="inlineStr">
        <is>
          <t>TC-13</t>
        </is>
      </c>
      <c r="B6" s="19" t="inlineStr">
        <is>
          <t>Rogue Device Join</t>
        </is>
      </c>
      <c r="C6" s="29" t="inlineStr">
        <is>
          <t>High</t>
        </is>
      </c>
      <c r="D6" s="20" t="inlineStr">
        <is>
          <t>Switch to centralized security mode; restrict join window to commissioning period only</t>
        </is>
      </c>
      <c r="E6" s="21" t="inlineStr">
        <is>
          <t>ZigBee §4.6.7</t>
        </is>
      </c>
      <c r="F6" s="27" t="inlineStr">
        <is>
          <t>P1-Immediate</t>
        </is>
      </c>
      <c r="G6" s="47" t="inlineStr">
        <is>
          <t>Medium</t>
        </is>
      </c>
      <c r="H6" s="45" t="inlineStr">
        <is>
          <t>Coordinator must enable permitJoin only for 60-second windows; disable by default</t>
        </is>
      </c>
    </row>
    <row r="7" ht="55" customHeight="1">
      <c r="A7" s="18" t="inlineStr">
        <is>
          <t>TC-03</t>
        </is>
      </c>
      <c r="B7" s="24" t="inlineStr">
        <is>
          <t>OTA Key Cleartext</t>
        </is>
      </c>
      <c r="C7" s="29" t="inlineStr">
        <is>
          <t>High</t>
        </is>
      </c>
      <c r="D7" s="25" t="inlineStr">
        <is>
          <t>Pre-install unique link keys via install code before deployment; never allow open-key joining</t>
        </is>
      </c>
      <c r="E7" s="26" t="inlineStr">
        <is>
          <t>ZigBee §4.6.3.3</t>
        </is>
      </c>
      <c r="F7" s="27" t="inlineStr">
        <is>
          <t>P1-Immediate</t>
        </is>
      </c>
      <c r="G7" s="47" t="inlineStr">
        <is>
          <t>Medium</t>
        </is>
      </c>
      <c r="H7" s="46" t="inlineStr">
        <is>
          <t>Install code = 16-byte random value printed on device label; scanned during commissioning</t>
        </is>
      </c>
    </row>
    <row r="8" ht="55" customHeight="1">
      <c r="A8" s="18" t="inlineStr">
        <is>
          <t>TC-04/05</t>
        </is>
      </c>
      <c r="B8" s="19" t="inlineStr">
        <is>
          <t>Insecure Key Storage</t>
        </is>
      </c>
      <c r="C8" s="29" t="inlineStr">
        <is>
          <t>High</t>
        </is>
      </c>
      <c r="D8" s="20" t="inlineStr">
        <is>
          <t>Enable flash read-back protection RDP Level 2; store keys in hardware secure element</t>
        </is>
      </c>
      <c r="E8" s="21" t="inlineStr">
        <is>
          <t>NIST SP 800-193 §3.2</t>
        </is>
      </c>
      <c r="F8" s="27" t="inlineStr">
        <is>
          <t>P1-Immediate</t>
        </is>
      </c>
      <c r="G8" s="29" t="inlineStr">
        <is>
          <t>High</t>
        </is>
      </c>
      <c r="H8" s="45" t="inlineStr">
        <is>
          <t>STM32: FLASH_OPTR RDP=0xCC; TI CC26x2: CCFG PROT_31_0 bits; disable after production</t>
        </is>
      </c>
    </row>
    <row r="9" ht="55" customHeight="1">
      <c r="A9" s="18" t="inlineStr">
        <is>
          <t>TC-06</t>
        </is>
      </c>
      <c r="B9" s="24" t="inlineStr">
        <is>
          <t>Radio Jamming</t>
        </is>
      </c>
      <c r="C9" s="29" t="inlineStr">
        <is>
          <t>High</t>
        </is>
      </c>
      <c r="D9" s="25" t="inlineStr">
        <is>
          <t>Implement frequency agility / channel scanning fallback; deploy RF IDS</t>
        </is>
      </c>
      <c r="E9" s="26" t="inlineStr">
        <is>
          <t>IEEE 802.15.4-2020 §8.2</t>
        </is>
      </c>
      <c r="F9" s="29" t="inlineStr">
        <is>
          <t>P2-Short Term</t>
        </is>
      </c>
      <c r="G9" s="29" t="inlineStr">
        <is>
          <t>High</t>
        </is>
      </c>
      <c r="H9" s="46" t="inlineStr">
        <is>
          <t>ZigBee coordinator should auto-switch channels on energy detect threshold breach</t>
        </is>
      </c>
    </row>
    <row r="10" ht="55" customHeight="1">
      <c r="A10" s="18" t="inlineStr">
        <is>
          <t>TC-12</t>
        </is>
      </c>
      <c r="B10" s="19" t="inlineStr">
        <is>
          <t>Frame Counter Attack</t>
        </is>
      </c>
      <c r="C10" s="29" t="inlineStr">
        <is>
          <t>High</t>
        </is>
      </c>
      <c r="D10" s="20" t="inlineStr">
        <is>
          <t>Validate counter increments are within plausible range (reject Δ &gt; 1000); rotate key at 90%</t>
        </is>
      </c>
      <c r="E10" s="21" t="inlineStr">
        <is>
          <t>ZigBee §4.5.1.1</t>
        </is>
      </c>
      <c r="F10" s="29" t="inlineStr">
        <is>
          <t>P2-Short Term</t>
        </is>
      </c>
      <c r="G10" s="47" t="inlineStr">
        <is>
          <t>Medium</t>
        </is>
      </c>
      <c r="H10" s="45" t="inlineStr">
        <is>
          <t>Firmware patch: add counter jump sanity check in NWK layer frame processing</t>
        </is>
      </c>
    </row>
    <row r="11" ht="55" customHeight="1">
      <c r="A11" s="18" t="inlineStr">
        <is>
          <t>TC-08/09</t>
        </is>
      </c>
      <c r="B11" s="24" t="inlineStr">
        <is>
          <t>Battery Depletion</t>
        </is>
      </c>
      <c r="C11" s="22" t="inlineStr">
        <is>
          <t>Medium</t>
        </is>
      </c>
      <c r="D11" s="25" t="inlineStr">
        <is>
          <t>Rate-limit frame processing at NWK layer; whitelist source addresses for data requests</t>
        </is>
      </c>
      <c r="E11" s="26" t="inlineStr">
        <is>
          <t>ZigBee §3.6.5</t>
        </is>
      </c>
      <c r="F11" s="29" t="inlineStr">
        <is>
          <t>P2-Short Term</t>
        </is>
      </c>
      <c r="G11" s="48" t="inlineStr">
        <is>
          <t>Low</t>
        </is>
      </c>
      <c r="H11" s="46" t="inlineStr">
        <is>
          <t>Max 50 frame validations/sec per source address; implement token bucket limiter</t>
        </is>
      </c>
    </row>
    <row r="12" ht="55" customHeight="1">
      <c r="A12" s="18" t="inlineStr">
        <is>
          <t>TC-10/11</t>
        </is>
      </c>
      <c r="B12" s="19" t="inlineStr">
        <is>
          <t>ACK Spoofing/Dropping</t>
        </is>
      </c>
      <c r="C12" s="22" t="inlineStr">
        <is>
          <t>Medium</t>
        </is>
      </c>
      <c r="D12" s="20" t="inlineStr">
        <is>
          <t>Enable Enhanced Acknowledgment (Enh-Ack) with security; add app-layer sequence confirmation</t>
        </is>
      </c>
      <c r="E12" s="21" t="inlineStr">
        <is>
          <t>IEEE 802.15.4-2020 §7.3</t>
        </is>
      </c>
      <c r="F12" s="29" t="inlineStr">
        <is>
          <t>P2-Short Term</t>
        </is>
      </c>
      <c r="G12" s="47" t="inlineStr">
        <is>
          <t>Medium</t>
        </is>
      </c>
      <c r="H12" s="45" t="inlineStr">
        <is>
          <t>Enh-Ack carries security header; requires 802.15.4-2015+ firmware on all nodes</t>
        </is>
      </c>
    </row>
    <row r="13" ht="55" customHeight="1">
      <c r="A13" s="18" t="inlineStr">
        <is>
          <t>TC-14</t>
        </is>
      </c>
      <c r="B13" s="24" t="inlineStr">
        <is>
          <t>Device Cloning</t>
        </is>
      </c>
      <c r="C13" s="29" t="inlineStr">
        <is>
          <t>High</t>
        </is>
      </c>
      <c r="D13" s="25" t="inlineStr">
        <is>
          <t>Rotate link keys after every rejoin; implement device fingerprinting (traffic pattern analysis)</t>
        </is>
      </c>
      <c r="E13" s="26" t="inlineStr">
        <is>
          <t>ZigBee §4.6.3.5</t>
        </is>
      </c>
      <c r="F13" s="29" t="inlineStr">
        <is>
          <t>P2-Short Term</t>
        </is>
      </c>
      <c r="G13" s="47" t="inlineStr">
        <is>
          <t>Medium</t>
        </is>
      </c>
      <c r="H13" s="46" t="inlineStr">
        <is>
          <t>Alert if two devices with same short address active simultaneously on network</t>
        </is>
      </c>
    </row>
    <row r="14" ht="55" customHeight="1">
      <c r="A14" s="18" t="inlineStr">
        <is>
          <t>TC-16</t>
        </is>
      </c>
      <c r="B14" s="19" t="inlineStr">
        <is>
          <t>Unencrypted Key on Join</t>
        </is>
      </c>
      <c r="C14" s="29" t="inlineStr">
        <is>
          <t>High</t>
        </is>
      </c>
      <c r="D14" s="20" t="inlineStr">
        <is>
          <t>Enforce APS-layer encryption on all Transport Key commands; reject unencrypted key commands</t>
        </is>
      </c>
      <c r="E14" s="21" t="inlineStr">
        <is>
          <t>ZigBee §4.4.5</t>
        </is>
      </c>
      <c r="F14" s="29" t="inlineStr">
        <is>
          <t>P2-Short Term</t>
        </is>
      </c>
      <c r="G14" s="48" t="inlineStr">
        <is>
          <t>Low</t>
        </is>
      </c>
      <c r="H14" s="45" t="inlineStr">
        <is>
          <t>Trust Center policy: set requireEncryptedJoin=TRUE in coordinator configuration</t>
        </is>
      </c>
    </row>
    <row r="15" ht="55" customHeight="1">
      <c r="A15" s="18" t="inlineStr">
        <is>
          <t>TC-17</t>
        </is>
      </c>
      <c r="B15" s="24" t="inlineStr">
        <is>
          <t>Security Level Downgrade</t>
        </is>
      </c>
      <c r="C15" s="29" t="inlineStr">
        <is>
          <t>High</t>
        </is>
      </c>
      <c r="D15" s="25" t="inlineStr">
        <is>
          <t>Configure coordinator to reject frames with security level below 0x05 (ENC-MIC-32 minimum)</t>
        </is>
      </c>
      <c r="E15" s="26" t="inlineStr">
        <is>
          <t>ZigBee §4.3.1</t>
        </is>
      </c>
      <c r="F15" s="29" t="inlineStr">
        <is>
          <t>P2-Short Term</t>
        </is>
      </c>
      <c r="G15" s="48" t="inlineStr">
        <is>
          <t>Low</t>
        </is>
      </c>
      <c r="H15" s="46" t="inlineStr">
        <is>
          <t>NWK layer policy check: drop frame if securityLevel &lt; MINIMUM_SECURITY_LEVEL constant</t>
        </is>
      </c>
    </row>
    <row r="16" ht="55" customHeight="1">
      <c r="A16" s="18" t="inlineStr">
        <is>
          <t>TC-18</t>
        </is>
      </c>
      <c r="B16" s="19" t="inlineStr">
        <is>
          <t>Counter Reset Replay</t>
        </is>
      </c>
      <c r="C16" s="22" t="inlineStr">
        <is>
          <t>Medium</t>
        </is>
      </c>
      <c r="D16" s="20" t="inlineStr">
        <is>
          <t>Maintain per-device counter registry persistent across key rotations in non-volatile storage</t>
        </is>
      </c>
      <c r="E16" s="21" t="inlineStr">
        <is>
          <t>ZigBee §4.5.1.1</t>
        </is>
      </c>
      <c r="F16" s="49" t="inlineStr">
        <is>
          <t>P3-Medium Term</t>
        </is>
      </c>
      <c r="G16" s="47" t="inlineStr">
        <is>
          <t>Medium</t>
        </is>
      </c>
      <c r="H16" s="45" t="inlineStr">
        <is>
          <t>Store last-seen counter per IEEE address in coordinator NVM; restore on key rotation</t>
        </is>
      </c>
    </row>
    <row r="17" ht="55" customHeight="1">
      <c r="A17" s="18" t="inlineStr">
        <is>
          <t>TC-19</t>
        </is>
      </c>
      <c r="B17" s="24" t="inlineStr">
        <is>
          <t>Distributed Mode Weakness</t>
        </is>
      </c>
      <c r="C17" s="29" t="inlineStr">
        <is>
          <t>High</t>
        </is>
      </c>
      <c r="D17" s="25" t="inlineStr">
        <is>
          <t>Migrate to centralized security; add ZigBee application-layer encryption between sensitive nodes</t>
        </is>
      </c>
      <c r="E17" s="26" t="inlineStr">
        <is>
          <t>ZigBee §4.6.7</t>
        </is>
      </c>
      <c r="F17" s="29" t="inlineStr">
        <is>
          <t>P2-Short Term</t>
        </is>
      </c>
      <c r="G17" s="29" t="inlineStr">
        <is>
          <t>High</t>
        </is>
      </c>
      <c r="H17" s="46" t="inlineStr">
        <is>
          <t>Add APS-layer link key encryption for all actuator-to-controller communication</t>
        </is>
      </c>
    </row>
    <row r="18" ht="55" customHeight="1">
      <c r="A18" s="18" t="inlineStr">
        <is>
          <t>TC-20</t>
        </is>
      </c>
      <c r="B18" s="19" t="inlineStr">
        <is>
          <t>JTAG Debug Active</t>
        </is>
      </c>
      <c r="C18" s="22" t="inlineStr">
        <is>
          <t>Medium</t>
        </is>
      </c>
      <c r="D18" s="20" t="inlineStr">
        <is>
          <t>Disable JTAG/SWD in production; implement secure boot with code signing; remove debug headers</t>
        </is>
      </c>
      <c r="E18" s="21" t="inlineStr">
        <is>
          <t>NIST SP 800-193 §3.4</t>
        </is>
      </c>
      <c r="F18" s="27" t="inlineStr">
        <is>
          <t>P1-Immediate</t>
        </is>
      </c>
      <c r="G18" s="48" t="inlineStr">
        <is>
          <t>Low</t>
        </is>
      </c>
      <c r="H18" s="45" t="inlineStr">
        <is>
          <t>Remove J2/J3 debug headers post-production; add epoxy over pads on final PCB revision</t>
        </is>
      </c>
    </row>
    <row r="19" ht="55" customHeight="1">
      <c r="A19" s="18" t="inlineStr">
        <is>
          <t>TC-01</t>
        </is>
      </c>
      <c r="B19" s="24" t="inlineStr">
        <is>
          <t>Metadata Exposure</t>
        </is>
      </c>
      <c r="C19" s="22" t="inlineStr">
        <is>
          <t>Medium</t>
        </is>
      </c>
      <c r="D19" s="25" t="inlineStr">
        <is>
          <t>Enforce ENC-MIC-128 (0x07) on all network frames; monitor for security level 0x00 frames</t>
        </is>
      </c>
      <c r="E19" s="26" t="inlineStr">
        <is>
          <t>ZigBee §4.3.1.1</t>
        </is>
      </c>
      <c r="F19" s="49" t="inlineStr">
        <is>
          <t>P3-Medium Term</t>
        </is>
      </c>
      <c r="G19" s="48" t="inlineStr">
        <is>
          <t>Low</t>
        </is>
      </c>
      <c r="H19" s="46" t="inlineStr">
        <is>
          <t>Coordinator configuration: set defaultSecurityLevel=0x07 in network descriptor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2026-03-23T18:35:24Z</dcterms:created>
  <dcterms:modified xmlns:dcterms="http://purl.org/dc/terms/" xmlns:xsi="http://www.w3.org/2001/XMLSchema-instance" xsi:type="dcterms:W3CDTF">2026-03-23T18:35:24Z</dcterms:modified>
</cp:coreProperties>
</file>